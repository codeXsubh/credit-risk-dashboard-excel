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df594cccc4983cf9/"/>
    </mc:Choice>
  </mc:AlternateContent>
  <xr:revisionPtr revIDLastSave="0" documentId="8_{7C475043-B316-4B72-A453-3839179C2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Summary" sheetId="2" r:id="rId1"/>
    <sheet name="ACTIVE" sheetId="6" r:id="rId2"/>
    <sheet name="CREDIT RISK" sheetId="5" r:id="rId3"/>
    <sheet name="TOP 10 BY DUE" sheetId="9" r:id="rId4"/>
    <sheet name="MONTHLY SALE VS COLLECTION" sheetId="16" r:id="rId5"/>
    <sheet name="Dues with Latest Payment" sheetId="17" r:id="rId6"/>
    <sheet name="Top 20 Dues" sheetId="19" r:id="rId7"/>
    <sheet name="DASHBOARD" sheetId="8" r:id="rId8"/>
    <sheet name="DATA SHEET " sheetId="1" r:id="rId9"/>
    <sheet name="RAW DATA" sheetId="10" state="hidden" r:id="rId10"/>
  </sheets>
  <definedNames>
    <definedName name="Slicer_Recency_Status">#N/A</definedName>
    <definedName name="Slicer_Team">#N/A</definedName>
    <definedName name="Slicer_Team2">#N/A</definedName>
  </definedNames>
  <calcPr calcId="191028" refMode="R1C1" iterateCount="0" calcOnSave="0" concurrentCalc="0"/>
  <pivotCaches>
    <pivotCache cacheId="6159" r:id="rId11"/>
    <pivotCache cacheId="6167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6" i="1" l="1"/>
  <c r="O197" i="1"/>
  <c r="O155" i="1"/>
  <c r="O140" i="1"/>
  <c r="O138" i="1"/>
  <c r="O124" i="1"/>
  <c r="O103" i="1"/>
  <c r="O96" i="1"/>
  <c r="O75" i="1"/>
  <c r="O53" i="1"/>
  <c r="O37" i="1"/>
  <c r="O21" i="1"/>
  <c r="O168" i="1"/>
  <c r="O167" i="1"/>
  <c r="O161" i="1"/>
  <c r="O157" i="1"/>
  <c r="O151" i="1"/>
  <c r="O150" i="1"/>
  <c r="O147" i="1"/>
  <c r="O145" i="1"/>
  <c r="O144" i="1"/>
  <c r="O143" i="1"/>
  <c r="O136" i="1"/>
  <c r="O128" i="1"/>
  <c r="O121" i="1"/>
  <c r="O111" i="1"/>
  <c r="O108" i="1"/>
  <c r="O107" i="1"/>
  <c r="O100" i="1"/>
  <c r="O99" i="1"/>
  <c r="O98" i="1"/>
  <c r="O194" i="1"/>
  <c r="O193" i="1"/>
  <c r="O165" i="1"/>
  <c r="O163" i="1"/>
  <c r="O162" i="1"/>
  <c r="O159" i="1"/>
  <c r="O153" i="1"/>
  <c r="O152" i="1"/>
  <c r="O134" i="1"/>
  <c r="O119" i="1"/>
  <c r="O118" i="1"/>
  <c r="O115" i="1"/>
  <c r="O106" i="1"/>
  <c r="O95" i="1"/>
  <c r="O93" i="1"/>
  <c r="O79" i="1"/>
  <c r="O69" i="1"/>
  <c r="O63" i="1"/>
  <c r="O62" i="1"/>
  <c r="O59" i="1"/>
  <c r="O54" i="1"/>
  <c r="O48" i="1"/>
  <c r="O45" i="1"/>
  <c r="O39" i="1"/>
  <c r="O38" i="1"/>
  <c r="O22" i="1"/>
  <c r="O13" i="1"/>
  <c r="O11" i="1"/>
  <c r="O7" i="1"/>
  <c r="O3" i="1"/>
  <c r="O105" i="1"/>
  <c r="O102" i="1"/>
  <c r="O97" i="1"/>
  <c r="O94" i="1"/>
  <c r="O92" i="1"/>
  <c r="O89" i="1"/>
  <c r="O82" i="1"/>
  <c r="O80" i="1"/>
  <c r="O78" i="1"/>
  <c r="O68" i="1"/>
  <c r="O192" i="1"/>
  <c r="O66" i="1"/>
  <c r="O65" i="1"/>
  <c r="O142" i="1"/>
  <c r="O60" i="1"/>
  <c r="O50" i="1"/>
  <c r="O49" i="1"/>
  <c r="O169" i="1"/>
  <c r="O47" i="1"/>
  <c r="O46" i="1"/>
  <c r="O186" i="1"/>
  <c r="O36" i="1"/>
  <c r="O198" i="1"/>
  <c r="O187" i="1"/>
  <c r="O90" i="1"/>
  <c r="O34" i="1"/>
  <c r="O117" i="1"/>
  <c r="O33" i="1"/>
  <c r="O30" i="1"/>
  <c r="O28" i="1"/>
  <c r="O196" i="1"/>
  <c r="O27" i="1"/>
  <c r="O84" i="1"/>
  <c r="O25" i="1"/>
  <c r="O141" i="1"/>
  <c r="O19" i="1"/>
  <c r="O200" i="1"/>
  <c r="O191" i="1"/>
  <c r="O18" i="1"/>
  <c r="O51" i="1"/>
  <c r="O81" i="1"/>
  <c r="O70" i="1"/>
  <c r="O188" i="1"/>
  <c r="O17" i="1"/>
  <c r="O148" i="1"/>
  <c r="O15" i="1"/>
  <c r="O14" i="1"/>
  <c r="O6" i="1"/>
  <c r="O160" i="1"/>
  <c r="O91" i="1"/>
  <c r="O4" i="1"/>
  <c r="O149" i="1"/>
  <c r="O56" i="1"/>
  <c r="O185" i="1"/>
  <c r="O154" i="1"/>
  <c r="O184" i="1"/>
  <c r="O181" i="1"/>
  <c r="O176" i="1"/>
  <c r="O180" i="1"/>
  <c r="O127" i="1"/>
  <c r="O20" i="1"/>
  <c r="O177" i="1"/>
  <c r="O199" i="1"/>
  <c r="O175" i="1"/>
  <c r="O158" i="1"/>
  <c r="O174" i="1"/>
  <c r="O139" i="1"/>
  <c r="O72" i="1"/>
  <c r="O131" i="1"/>
  <c r="O9" i="1"/>
  <c r="O130" i="1"/>
  <c r="O112" i="1"/>
  <c r="O178" i="1"/>
  <c r="O104" i="1"/>
  <c r="O85" i="1"/>
  <c r="O101" i="1"/>
  <c r="O88" i="1"/>
  <c r="O8" i="1"/>
  <c r="O83" i="1"/>
  <c r="O123" i="1"/>
  <c r="O77" i="1"/>
  <c r="O74" i="1"/>
  <c r="O86" i="1"/>
  <c r="O73" i="1"/>
  <c r="O166" i="1"/>
  <c r="O71" i="1"/>
  <c r="O2" i="1"/>
  <c r="O61" i="1"/>
  <c r="O201" i="1"/>
  <c r="O52" i="1"/>
  <c r="O55" i="1"/>
  <c r="O122" i="1"/>
  <c r="O109" i="1"/>
  <c r="O43" i="1"/>
  <c r="O42" i="1"/>
  <c r="O171" i="1"/>
  <c r="O114" i="1"/>
  <c r="O41" i="1"/>
  <c r="O173" i="1"/>
  <c r="O170" i="1"/>
  <c r="O40" i="1"/>
  <c r="O29" i="1"/>
  <c r="O26" i="1"/>
  <c r="O12" i="1"/>
  <c r="O23" i="1"/>
  <c r="O135" i="1"/>
  <c r="O10" i="1"/>
  <c r="O87" i="1"/>
  <c r="O129" i="1"/>
  <c r="O5" i="1"/>
  <c r="O195" i="1"/>
  <c r="O24" i="1"/>
  <c r="O126" i="1"/>
  <c r="O57" i="1"/>
  <c r="O35" i="1"/>
  <c r="O183" i="1"/>
  <c r="O113" i="1"/>
  <c r="O58" i="1"/>
  <c r="O182" i="1"/>
  <c r="O156" i="1"/>
  <c r="O64" i="1"/>
  <c r="O179" i="1"/>
  <c r="O172" i="1"/>
  <c r="O137" i="1"/>
  <c r="O110" i="1"/>
  <c r="O116" i="1"/>
  <c r="O164" i="1"/>
  <c r="O76" i="1"/>
  <c r="O67" i="1"/>
  <c r="O189" i="1"/>
  <c r="O125" i="1"/>
  <c r="O120" i="1"/>
  <c r="O32" i="1"/>
  <c r="O16" i="1"/>
  <c r="O190" i="1"/>
  <c r="O132" i="1"/>
  <c r="O133" i="1"/>
  <c r="O31" i="1"/>
  <c r="O44" i="1"/>
  <c r="H197" i="1"/>
  <c r="F53" i="1"/>
  <c r="F37" i="1"/>
  <c r="F21" i="1"/>
  <c r="F168" i="1"/>
  <c r="F167" i="1"/>
  <c r="F161" i="1"/>
  <c r="F157" i="1"/>
  <c r="F151" i="1"/>
  <c r="F150" i="1"/>
  <c r="F147" i="1"/>
  <c r="F146" i="1"/>
  <c r="F145" i="1"/>
  <c r="F144" i="1"/>
  <c r="F143" i="1"/>
  <c r="F136" i="1"/>
  <c r="F128" i="1"/>
  <c r="F121" i="1"/>
  <c r="F111" i="1"/>
  <c r="F108" i="1"/>
  <c r="F107" i="1"/>
  <c r="F100" i="1"/>
  <c r="F99" i="1"/>
  <c r="F98" i="1"/>
  <c r="F194" i="1"/>
  <c r="F193" i="1"/>
  <c r="F165" i="1"/>
  <c r="F163" i="1"/>
  <c r="F162" i="1"/>
  <c r="F159" i="1"/>
  <c r="F153" i="1"/>
  <c r="F152" i="1"/>
  <c r="F134" i="1"/>
  <c r="F119" i="1"/>
  <c r="F118" i="1"/>
  <c r="F115" i="1"/>
  <c r="F106" i="1"/>
  <c r="F95" i="1"/>
  <c r="F93" i="1"/>
  <c r="F79" i="1"/>
  <c r="F69" i="1"/>
  <c r="F63" i="1"/>
  <c r="F62" i="1"/>
  <c r="F59" i="1"/>
  <c r="F54" i="1"/>
  <c r="F48" i="1"/>
  <c r="F45" i="1"/>
  <c r="F39" i="1"/>
  <c r="F38" i="1"/>
  <c r="F22" i="1"/>
  <c r="F13" i="1"/>
  <c r="F11" i="1"/>
  <c r="F7" i="1"/>
  <c r="F3" i="1"/>
  <c r="F105" i="1"/>
  <c r="F102" i="1"/>
  <c r="F97" i="1"/>
  <c r="F94" i="1"/>
  <c r="F92" i="1"/>
  <c r="F89" i="1"/>
  <c r="F82" i="1"/>
  <c r="F80" i="1"/>
  <c r="F78" i="1"/>
  <c r="F68" i="1"/>
  <c r="F192" i="1"/>
  <c r="F66" i="1"/>
  <c r="F65" i="1"/>
  <c r="F142" i="1"/>
  <c r="F60" i="1"/>
  <c r="F50" i="1"/>
  <c r="F49" i="1"/>
  <c r="F169" i="1"/>
  <c r="F47" i="1"/>
  <c r="F46" i="1"/>
  <c r="F186" i="1"/>
  <c r="F36" i="1"/>
  <c r="F198" i="1"/>
  <c r="F187" i="1"/>
  <c r="F90" i="1"/>
  <c r="F34" i="1"/>
  <c r="F117" i="1"/>
  <c r="F33" i="1"/>
  <c r="F30" i="1"/>
  <c r="F28" i="1"/>
  <c r="F196" i="1"/>
  <c r="F27" i="1"/>
  <c r="F84" i="1"/>
  <c r="F25" i="1"/>
  <c r="F141" i="1"/>
  <c r="F19" i="1"/>
  <c r="F200" i="1"/>
  <c r="F191" i="1"/>
  <c r="F18" i="1"/>
  <c r="F51" i="1"/>
  <c r="F81" i="1"/>
  <c r="F70" i="1"/>
  <c r="F188" i="1"/>
  <c r="F17" i="1"/>
  <c r="F148" i="1"/>
  <c r="F15" i="1"/>
  <c r="F14" i="1"/>
  <c r="F6" i="1"/>
  <c r="F160" i="1"/>
  <c r="F91" i="1"/>
  <c r="F4" i="1"/>
  <c r="F149" i="1"/>
  <c r="F56" i="1"/>
  <c r="F185" i="1"/>
  <c r="F154" i="1"/>
  <c r="F184" i="1"/>
  <c r="F181" i="1"/>
  <c r="F176" i="1"/>
  <c r="F180" i="1"/>
  <c r="F127" i="1"/>
  <c r="F20" i="1"/>
  <c r="F177" i="1"/>
  <c r="F199" i="1"/>
  <c r="F175" i="1"/>
  <c r="F158" i="1"/>
  <c r="F174" i="1"/>
  <c r="F139" i="1"/>
  <c r="F72" i="1"/>
  <c r="F131" i="1"/>
  <c r="F9" i="1"/>
  <c r="F130" i="1"/>
  <c r="F112" i="1"/>
  <c r="F178" i="1"/>
  <c r="F104" i="1"/>
  <c r="F85" i="1"/>
  <c r="F101" i="1"/>
  <c r="F88" i="1"/>
  <c r="F8" i="1"/>
  <c r="F83" i="1"/>
  <c r="F123" i="1"/>
  <c r="F77" i="1"/>
  <c r="F74" i="1"/>
  <c r="F86" i="1"/>
  <c r="F73" i="1"/>
  <c r="F166" i="1"/>
  <c r="F71" i="1"/>
  <c r="F2" i="1"/>
  <c r="F61" i="1"/>
  <c r="F201" i="1"/>
  <c r="F52" i="1"/>
  <c r="F55" i="1"/>
  <c r="F122" i="1"/>
  <c r="F109" i="1"/>
  <c r="F43" i="1"/>
  <c r="F42" i="1"/>
  <c r="F171" i="1"/>
  <c r="F114" i="1"/>
  <c r="F41" i="1"/>
  <c r="F173" i="1"/>
  <c r="F170" i="1"/>
  <c r="F40" i="1"/>
  <c r="F29" i="1"/>
  <c r="F26" i="1"/>
  <c r="F12" i="1"/>
  <c r="F23" i="1"/>
  <c r="F135" i="1"/>
  <c r="F10" i="1"/>
  <c r="F87" i="1"/>
  <c r="F129" i="1"/>
  <c r="F5" i="1"/>
  <c r="F195" i="1"/>
  <c r="F24" i="1"/>
  <c r="F126" i="1"/>
  <c r="F57" i="1"/>
  <c r="F35" i="1"/>
  <c r="F183" i="1"/>
  <c r="F113" i="1"/>
  <c r="F58" i="1"/>
  <c r="F182" i="1"/>
  <c r="F156" i="1"/>
  <c r="F64" i="1"/>
  <c r="F179" i="1"/>
  <c r="F172" i="1"/>
  <c r="F137" i="1"/>
  <c r="F110" i="1"/>
  <c r="F116" i="1"/>
  <c r="F164" i="1"/>
  <c r="F76" i="1"/>
  <c r="F67" i="1"/>
  <c r="F189" i="1"/>
  <c r="F125" i="1"/>
  <c r="F120" i="1"/>
  <c r="F32" i="1"/>
  <c r="F16" i="1"/>
  <c r="F190" i="1"/>
  <c r="F132" i="1"/>
  <c r="F133" i="1"/>
  <c r="F31" i="1"/>
  <c r="F44" i="1"/>
  <c r="F155" i="1"/>
  <c r="F140" i="1"/>
  <c r="F138" i="1"/>
  <c r="F124" i="1"/>
  <c r="F103" i="1"/>
  <c r="F96" i="1"/>
  <c r="F75" i="1"/>
  <c r="F197" i="1"/>
  <c r="A1" i="8"/>
  <c r="J142" i="1"/>
  <c r="E1" i="8"/>
  <c r="H155" i="1"/>
  <c r="H35" i="1"/>
  <c r="H160" i="1"/>
  <c r="H18" i="1"/>
  <c r="H75" i="1"/>
  <c r="H72" i="1"/>
  <c r="H122" i="1"/>
  <c r="H88" i="1"/>
  <c r="H193" i="1"/>
  <c r="H70" i="1"/>
  <c r="H134" i="1"/>
  <c r="H151" i="1"/>
  <c r="H29" i="1"/>
  <c r="H184" i="1"/>
  <c r="H8" i="1"/>
  <c r="H178" i="1"/>
  <c r="H11" i="1"/>
  <c r="H19" i="1"/>
  <c r="H120" i="1"/>
  <c r="H14" i="1"/>
  <c r="H159" i="1"/>
  <c r="H37" i="1"/>
  <c r="H126" i="1"/>
  <c r="H49" i="1"/>
  <c r="H128" i="1"/>
  <c r="H96" i="1"/>
  <c r="H32" i="1"/>
  <c r="H187" i="1"/>
  <c r="H92" i="1"/>
  <c r="H42" i="1"/>
  <c r="H133" i="1"/>
  <c r="H165" i="1"/>
  <c r="H181" i="1"/>
  <c r="H172" i="1"/>
  <c r="H127" i="1"/>
  <c r="H85" i="1"/>
  <c r="H91" i="1"/>
  <c r="H192" i="1"/>
  <c r="H13" i="1"/>
  <c r="H9" i="1"/>
  <c r="H90" i="1"/>
  <c r="H21" i="1"/>
  <c r="H117" i="1"/>
  <c r="H71" i="1"/>
  <c r="H143" i="1"/>
  <c r="H196" i="1"/>
  <c r="H118" i="1"/>
  <c r="H162" i="1"/>
  <c r="H107" i="1"/>
  <c r="H156" i="1"/>
  <c r="H41" i="1"/>
  <c r="H39" i="1"/>
  <c r="H79" i="1"/>
  <c r="H58" i="1"/>
  <c r="H94" i="1"/>
  <c r="H95" i="1"/>
  <c r="H115" i="1"/>
  <c r="H108" i="1"/>
  <c r="H140" i="1"/>
  <c r="H2" i="1"/>
  <c r="H24" i="1"/>
  <c r="H201" i="1"/>
  <c r="H83" i="1"/>
  <c r="H28" i="1"/>
  <c r="H52" i="1"/>
  <c r="H173" i="1"/>
  <c r="H150" i="1"/>
  <c r="H56" i="1"/>
  <c r="H111" i="1"/>
  <c r="H144" i="1"/>
  <c r="H171" i="1"/>
  <c r="H20" i="1"/>
  <c r="H87" i="1"/>
  <c r="H186" i="1"/>
  <c r="H4" i="1"/>
  <c r="H47" i="1"/>
  <c r="H22" i="1"/>
  <c r="H194" i="1"/>
  <c r="H147" i="1"/>
  <c r="H86" i="1"/>
  <c r="H84" i="1"/>
  <c r="H12" i="1"/>
  <c r="H185" i="1"/>
  <c r="H149" i="1"/>
  <c r="H136" i="1"/>
  <c r="H137" i="1"/>
  <c r="H7" i="1"/>
  <c r="H64" i="1"/>
  <c r="H44" i="1"/>
  <c r="H148" i="1"/>
  <c r="H65" i="1"/>
  <c r="H158" i="1"/>
  <c r="H157" i="1"/>
  <c r="H114" i="1"/>
  <c r="H102" i="1"/>
  <c r="H161" i="1"/>
  <c r="H179" i="1"/>
  <c r="H59" i="1"/>
  <c r="H153" i="1"/>
  <c r="H183" i="1"/>
  <c r="H195" i="1"/>
  <c r="H61" i="1"/>
  <c r="H23" i="1"/>
  <c r="H188" i="1"/>
  <c r="H152" i="1"/>
  <c r="H101" i="1"/>
  <c r="H131" i="1"/>
  <c r="H177" i="1"/>
  <c r="H132" i="1"/>
  <c r="H176" i="1"/>
  <c r="H6" i="1"/>
  <c r="H67" i="1"/>
  <c r="H74" i="1"/>
  <c r="H98" i="1"/>
  <c r="H167" i="1"/>
  <c r="H57" i="1"/>
  <c r="H25" i="1"/>
  <c r="H105" i="1"/>
  <c r="H48" i="1"/>
  <c r="H16" i="1"/>
  <c r="H141" i="1"/>
  <c r="H200" i="1"/>
  <c r="H106" i="1"/>
  <c r="H129" i="1"/>
  <c r="H93" i="1"/>
  <c r="H199" i="1"/>
  <c r="H27" i="1"/>
  <c r="H15" i="1"/>
  <c r="H135" i="1"/>
  <c r="H112" i="1"/>
  <c r="H130" i="1"/>
  <c r="H169" i="1"/>
  <c r="H125" i="1"/>
  <c r="H97" i="1"/>
  <c r="H51" i="1"/>
  <c r="H142" i="1"/>
  <c r="H34" i="1"/>
  <c r="H163" i="1"/>
  <c r="H170" i="1"/>
  <c r="H116" i="1"/>
  <c r="H180" i="1"/>
  <c r="H139" i="1"/>
  <c r="H66" i="1"/>
  <c r="H103" i="1"/>
  <c r="H138" i="1"/>
  <c r="H124" i="1"/>
  <c r="H5" i="1"/>
  <c r="H175" i="1"/>
  <c r="H168" i="1"/>
  <c r="H121" i="1"/>
  <c r="H110" i="1"/>
  <c r="H30" i="1"/>
  <c r="H145" i="1"/>
  <c r="H154" i="1"/>
  <c r="H73" i="1"/>
  <c r="H46" i="1"/>
  <c r="H100" i="1"/>
  <c r="H109" i="1"/>
  <c r="H33" i="1"/>
  <c r="H40" i="1"/>
  <c r="H63" i="1"/>
  <c r="H174" i="1"/>
  <c r="H76" i="1"/>
  <c r="H191" i="1"/>
  <c r="H146" i="1"/>
  <c r="H189" i="1"/>
  <c r="H17" i="1"/>
  <c r="H68" i="1"/>
  <c r="H62" i="1"/>
  <c r="H69" i="1"/>
  <c r="H60" i="1"/>
  <c r="H166" i="1"/>
  <c r="H113" i="1"/>
  <c r="H10" i="1"/>
  <c r="H26" i="1"/>
  <c r="H77" i="1"/>
  <c r="H38" i="1"/>
  <c r="H45" i="1"/>
  <c r="H53" i="1"/>
  <c r="H43" i="1"/>
  <c r="H36" i="1"/>
  <c r="H82" i="1"/>
  <c r="H198" i="1"/>
  <c r="H78" i="1"/>
  <c r="H99" i="1"/>
  <c r="H81" i="1"/>
  <c r="H123" i="1"/>
  <c r="H80" i="1"/>
  <c r="H54" i="1"/>
  <c r="H190" i="1"/>
  <c r="H164" i="1"/>
  <c r="H55" i="1"/>
  <c r="H119" i="1"/>
  <c r="H104" i="1"/>
  <c r="H89" i="1"/>
  <c r="H3" i="1"/>
  <c r="H31" i="1"/>
  <c r="H182" i="1"/>
  <c r="E155" i="1"/>
  <c r="E35" i="1"/>
  <c r="E160" i="1"/>
  <c r="E18" i="1"/>
  <c r="E75" i="1"/>
  <c r="E72" i="1"/>
  <c r="E122" i="1"/>
  <c r="E88" i="1"/>
  <c r="E193" i="1"/>
  <c r="E70" i="1"/>
  <c r="E134" i="1"/>
  <c r="E151" i="1"/>
  <c r="E29" i="1"/>
  <c r="E184" i="1"/>
  <c r="E8" i="1"/>
  <c r="E178" i="1"/>
  <c r="E11" i="1"/>
  <c r="E19" i="1"/>
  <c r="E120" i="1"/>
  <c r="E14" i="1"/>
  <c r="E159" i="1"/>
  <c r="E37" i="1"/>
  <c r="E126" i="1"/>
  <c r="E49" i="1"/>
  <c r="E128" i="1"/>
  <c r="E96" i="1"/>
  <c r="E32" i="1"/>
  <c r="E187" i="1"/>
  <c r="E92" i="1"/>
  <c r="E42" i="1"/>
  <c r="E133" i="1"/>
  <c r="E165" i="1"/>
  <c r="E181" i="1"/>
  <c r="E172" i="1"/>
  <c r="E127" i="1"/>
  <c r="E85" i="1"/>
  <c r="E91" i="1"/>
  <c r="E192" i="1"/>
  <c r="E13" i="1"/>
  <c r="E9" i="1"/>
  <c r="E90" i="1"/>
  <c r="E21" i="1"/>
  <c r="E117" i="1"/>
  <c r="E71" i="1"/>
  <c r="E143" i="1"/>
  <c r="E196" i="1"/>
  <c r="E118" i="1"/>
  <c r="E162" i="1"/>
  <c r="E107" i="1"/>
  <c r="E156" i="1"/>
  <c r="E41" i="1"/>
  <c r="E39" i="1"/>
  <c r="E79" i="1"/>
  <c r="E58" i="1"/>
  <c r="E94" i="1"/>
  <c r="E95" i="1"/>
  <c r="E115" i="1"/>
  <c r="E108" i="1"/>
  <c r="E140" i="1"/>
  <c r="E2" i="1"/>
  <c r="E24" i="1"/>
  <c r="E201" i="1"/>
  <c r="E83" i="1"/>
  <c r="E28" i="1"/>
  <c r="E52" i="1"/>
  <c r="E173" i="1"/>
  <c r="E150" i="1"/>
  <c r="E56" i="1"/>
  <c r="E111" i="1"/>
  <c r="E144" i="1"/>
  <c r="E171" i="1"/>
  <c r="E20" i="1"/>
  <c r="E87" i="1"/>
  <c r="E186" i="1"/>
  <c r="E4" i="1"/>
  <c r="E47" i="1"/>
  <c r="E22" i="1"/>
  <c r="E194" i="1"/>
  <c r="E147" i="1"/>
  <c r="E86" i="1"/>
  <c r="E84" i="1"/>
  <c r="E12" i="1"/>
  <c r="E185" i="1"/>
  <c r="E149" i="1"/>
  <c r="E136" i="1"/>
  <c r="E137" i="1"/>
  <c r="E7" i="1"/>
  <c r="E64" i="1"/>
  <c r="E44" i="1"/>
  <c r="E148" i="1"/>
  <c r="E65" i="1"/>
  <c r="E158" i="1"/>
  <c r="E157" i="1"/>
  <c r="E114" i="1"/>
  <c r="E102" i="1"/>
  <c r="E161" i="1"/>
  <c r="E179" i="1"/>
  <c r="E59" i="1"/>
  <c r="E153" i="1"/>
  <c r="E183" i="1"/>
  <c r="E195" i="1"/>
  <c r="E61" i="1"/>
  <c r="E23" i="1"/>
  <c r="E188" i="1"/>
  <c r="E152" i="1"/>
  <c r="E101" i="1"/>
  <c r="E131" i="1"/>
  <c r="E177" i="1"/>
  <c r="E132" i="1"/>
  <c r="E176" i="1"/>
  <c r="E6" i="1"/>
  <c r="E67" i="1"/>
  <c r="E74" i="1"/>
  <c r="E98" i="1"/>
  <c r="E167" i="1"/>
  <c r="E57" i="1"/>
  <c r="E25" i="1"/>
  <c r="E105" i="1"/>
  <c r="E48" i="1"/>
  <c r="E16" i="1"/>
  <c r="E141" i="1"/>
  <c r="E200" i="1"/>
  <c r="E50" i="1"/>
  <c r="E106" i="1"/>
  <c r="E129" i="1"/>
  <c r="E93" i="1"/>
  <c r="E197" i="1"/>
  <c r="E199" i="1"/>
  <c r="E27" i="1"/>
  <c r="E15" i="1"/>
  <c r="E135" i="1"/>
  <c r="E112" i="1"/>
  <c r="E130" i="1"/>
  <c r="E169" i="1"/>
  <c r="E125" i="1"/>
  <c r="E97" i="1"/>
  <c r="E51" i="1"/>
  <c r="E142" i="1"/>
  <c r="E34" i="1"/>
  <c r="E163" i="1"/>
  <c r="E170" i="1"/>
  <c r="E116" i="1"/>
  <c r="E180" i="1"/>
  <c r="E139" i="1"/>
  <c r="E66" i="1"/>
  <c r="E103" i="1"/>
  <c r="E138" i="1"/>
  <c r="E124" i="1"/>
  <c r="E5" i="1"/>
  <c r="E175" i="1"/>
  <c r="E168" i="1"/>
  <c r="E121" i="1"/>
  <c r="E110" i="1"/>
  <c r="E30" i="1"/>
  <c r="E145" i="1"/>
  <c r="E154" i="1"/>
  <c r="E73" i="1"/>
  <c r="E46" i="1"/>
  <c r="E100" i="1"/>
  <c r="E109" i="1"/>
  <c r="E33" i="1"/>
  <c r="E40" i="1"/>
  <c r="E63" i="1"/>
  <c r="E174" i="1"/>
  <c r="E76" i="1"/>
  <c r="E191" i="1"/>
  <c r="E146" i="1"/>
  <c r="E189" i="1"/>
  <c r="E17" i="1"/>
  <c r="E68" i="1"/>
  <c r="E62" i="1"/>
  <c r="E69" i="1"/>
  <c r="E60" i="1"/>
  <c r="E166" i="1"/>
  <c r="E113" i="1"/>
  <c r="E10" i="1"/>
  <c r="E26" i="1"/>
  <c r="E77" i="1"/>
  <c r="E38" i="1"/>
  <c r="E45" i="1"/>
  <c r="E53" i="1"/>
  <c r="E43" i="1"/>
  <c r="E36" i="1"/>
  <c r="E82" i="1"/>
  <c r="E198" i="1"/>
  <c r="E78" i="1"/>
  <c r="E99" i="1"/>
  <c r="E81" i="1"/>
  <c r="E123" i="1"/>
  <c r="E80" i="1"/>
  <c r="E54" i="1"/>
  <c r="E190" i="1"/>
  <c r="E164" i="1"/>
  <c r="E55" i="1"/>
  <c r="E119" i="1"/>
  <c r="E104" i="1"/>
  <c r="E89" i="1"/>
  <c r="E3" i="1"/>
  <c r="E31" i="1"/>
  <c r="E182" i="1"/>
  <c r="B1" i="8"/>
  <c r="P5" i="1"/>
  <c r="P10" i="1"/>
  <c r="P26" i="1"/>
  <c r="P12" i="1"/>
  <c r="P29" i="1"/>
  <c r="P40" i="1"/>
  <c r="P41" i="1"/>
  <c r="P42" i="1"/>
  <c r="P43" i="1"/>
  <c r="P55" i="1"/>
  <c r="P61" i="1"/>
  <c r="P71" i="1"/>
  <c r="P73" i="1"/>
  <c r="P74" i="1"/>
  <c r="P77" i="1"/>
  <c r="P83" i="1"/>
  <c r="P88" i="1"/>
  <c r="P101" i="1"/>
  <c r="P104" i="1"/>
  <c r="P112" i="1"/>
  <c r="P130" i="1"/>
  <c r="P131" i="1"/>
  <c r="P139" i="1"/>
  <c r="P158" i="1"/>
  <c r="P175" i="1"/>
  <c r="P176" i="1"/>
  <c r="P181" i="1"/>
  <c r="P184" i="1"/>
  <c r="P185" i="1"/>
  <c r="P4" i="1"/>
  <c r="P6" i="1"/>
  <c r="P14" i="1"/>
  <c r="P15" i="1"/>
  <c r="P17" i="1"/>
  <c r="P18" i="1"/>
  <c r="P19" i="1"/>
  <c r="P25" i="1"/>
  <c r="P27" i="1"/>
  <c r="P28" i="1"/>
  <c r="P30" i="1"/>
  <c r="P33" i="1"/>
  <c r="P34" i="1"/>
  <c r="P36" i="1"/>
  <c r="P46" i="1"/>
  <c r="P47" i="1"/>
  <c r="P49" i="1"/>
  <c r="P50" i="1"/>
  <c r="P60" i="1"/>
  <c r="P65" i="1"/>
  <c r="P66" i="1"/>
  <c r="P68" i="1"/>
  <c r="P78" i="1"/>
  <c r="P80" i="1"/>
  <c r="P82" i="1"/>
  <c r="P89" i="1"/>
  <c r="P92" i="1"/>
  <c r="P94" i="1"/>
  <c r="P97" i="1"/>
  <c r="P102" i="1"/>
  <c r="P105" i="1"/>
  <c r="P3" i="1"/>
  <c r="P7" i="1"/>
  <c r="P11" i="1"/>
  <c r="P13" i="1"/>
  <c r="P22" i="1"/>
  <c r="P38" i="1"/>
  <c r="P39" i="1"/>
  <c r="P45" i="1"/>
  <c r="P48" i="1"/>
  <c r="P54" i="1"/>
  <c r="P59" i="1"/>
  <c r="P62" i="1"/>
  <c r="P63" i="1"/>
  <c r="P69" i="1"/>
  <c r="P79" i="1"/>
  <c r="P93" i="1"/>
  <c r="P95" i="1"/>
  <c r="P106" i="1"/>
  <c r="P115" i="1"/>
  <c r="P118" i="1"/>
  <c r="P119" i="1"/>
  <c r="P134" i="1"/>
  <c r="P152" i="1"/>
  <c r="P153" i="1"/>
  <c r="P159" i="1"/>
  <c r="P162" i="1"/>
  <c r="P163" i="1"/>
  <c r="P165" i="1"/>
  <c r="P193" i="1"/>
  <c r="P194" i="1"/>
  <c r="P98" i="1"/>
  <c r="P99" i="1"/>
  <c r="P100" i="1"/>
  <c r="P107" i="1"/>
  <c r="P108" i="1"/>
  <c r="P111" i="1"/>
  <c r="P121" i="1"/>
  <c r="P128" i="1"/>
  <c r="P136" i="1"/>
  <c r="P143" i="1"/>
  <c r="P144" i="1"/>
  <c r="P145" i="1"/>
  <c r="P146" i="1"/>
  <c r="P147" i="1"/>
  <c r="P150" i="1"/>
  <c r="P151" i="1"/>
  <c r="P157" i="1"/>
  <c r="P161" i="1"/>
  <c r="P167" i="1"/>
  <c r="P168" i="1"/>
  <c r="P21" i="1"/>
  <c r="P37" i="1"/>
  <c r="P53" i="1"/>
  <c r="P75" i="1"/>
  <c r="P96" i="1"/>
  <c r="P103" i="1"/>
  <c r="P124" i="1"/>
  <c r="P138" i="1"/>
  <c r="P140" i="1"/>
  <c r="P155" i="1"/>
  <c r="P197" i="1"/>
  <c r="P199" i="1"/>
  <c r="P85" i="1"/>
  <c r="P9" i="1"/>
  <c r="P16" i="1"/>
  <c r="P52" i="1"/>
  <c r="P56" i="1"/>
  <c r="P57" i="1"/>
  <c r="P67" i="1"/>
  <c r="P70" i="1"/>
  <c r="P72" i="1"/>
  <c r="P81" i="1"/>
  <c r="P86" i="1"/>
  <c r="P91" i="1"/>
  <c r="P109" i="1"/>
  <c r="P116" i="1"/>
  <c r="P117" i="1"/>
  <c r="P123" i="1"/>
  <c r="P141" i="1"/>
  <c r="P156" i="1"/>
  <c r="P166" i="1"/>
  <c r="P169" i="1"/>
  <c r="P172" i="1"/>
  <c r="P173" i="1"/>
  <c r="P177" i="1"/>
  <c r="P179" i="1"/>
  <c r="P183" i="1"/>
  <c r="P192" i="1"/>
  <c r="P198" i="1"/>
  <c r="P2" i="1"/>
  <c r="P8" i="1"/>
  <c r="P20" i="1"/>
  <c r="P23" i="1"/>
  <c r="P24" i="1"/>
  <c r="P31" i="1"/>
  <c r="P32" i="1"/>
  <c r="P35" i="1"/>
  <c r="P44" i="1"/>
  <c r="P51" i="1"/>
  <c r="P58" i="1"/>
  <c r="P64" i="1"/>
  <c r="P76" i="1"/>
  <c r="P84" i="1"/>
  <c r="P87" i="1"/>
  <c r="P90" i="1"/>
  <c r="P170" i="1"/>
  <c r="P180" i="1"/>
  <c r="P182" i="1"/>
  <c r="P186" i="1"/>
  <c r="P188" i="1"/>
  <c r="P190" i="1"/>
  <c r="P195" i="1"/>
  <c r="P201" i="1"/>
  <c r="P110" i="1"/>
  <c r="P113" i="1"/>
  <c r="P114" i="1"/>
  <c r="P120" i="1"/>
  <c r="P122" i="1"/>
  <c r="P125" i="1"/>
  <c r="P126" i="1"/>
  <c r="P127" i="1"/>
  <c r="P129" i="1"/>
  <c r="P132" i="1"/>
  <c r="P133" i="1"/>
  <c r="P135" i="1"/>
  <c r="P137" i="1"/>
  <c r="P142" i="1"/>
  <c r="P148" i="1"/>
  <c r="P149" i="1"/>
  <c r="P154" i="1"/>
  <c r="P160" i="1"/>
  <c r="P164" i="1"/>
  <c r="P171" i="1"/>
  <c r="P174" i="1"/>
  <c r="P178" i="1"/>
  <c r="P187" i="1"/>
  <c r="P189" i="1"/>
  <c r="P191" i="1"/>
  <c r="P196" i="1"/>
  <c r="P200" i="1"/>
  <c r="J5" i="1"/>
  <c r="J10" i="1"/>
  <c r="J29" i="1"/>
  <c r="J147" i="1"/>
  <c r="N147" i="1" s="1"/>
  <c r="J150" i="1"/>
  <c r="N150" i="1" s="1"/>
  <c r="J151" i="1"/>
  <c r="N151" i="1" s="1"/>
  <c r="J157" i="1"/>
  <c r="N157" i="1" s="1"/>
  <c r="J161" i="1"/>
  <c r="N161" i="1" s="1"/>
  <c r="J167" i="1"/>
  <c r="N167" i="1" s="1"/>
  <c r="J168" i="1"/>
  <c r="N168" i="1" s="1"/>
  <c r="J21" i="1"/>
  <c r="J37" i="1"/>
  <c r="J53" i="1"/>
  <c r="J75" i="1"/>
  <c r="J96" i="1"/>
  <c r="J103" i="1"/>
  <c r="J124" i="1"/>
  <c r="N124" i="1" s="1"/>
  <c r="J138" i="1"/>
  <c r="N138" i="1" s="1"/>
  <c r="J140" i="1"/>
  <c r="N140" i="1" s="1"/>
  <c r="J155" i="1"/>
  <c r="N155" i="1" s="1"/>
  <c r="J197" i="1"/>
  <c r="N197" i="1" s="1"/>
  <c r="J199" i="1"/>
  <c r="N199" i="1" s="1"/>
  <c r="J85" i="1"/>
  <c r="J9" i="1"/>
  <c r="J16" i="1"/>
  <c r="J52" i="1"/>
  <c r="J56" i="1"/>
  <c r="J57" i="1"/>
  <c r="J67" i="1"/>
  <c r="J70" i="1"/>
  <c r="J72" i="1"/>
  <c r="J81" i="1"/>
  <c r="J86" i="1"/>
  <c r="J91" i="1"/>
  <c r="J109" i="1"/>
  <c r="J116" i="1"/>
  <c r="N116" i="1" s="1"/>
  <c r="J117" i="1"/>
  <c r="N117" i="1" s="1"/>
  <c r="J123" i="1"/>
  <c r="N123" i="1" s="1"/>
  <c r="J141" i="1"/>
  <c r="N141" i="1" s="1"/>
  <c r="J156" i="1"/>
  <c r="N156" i="1" s="1"/>
  <c r="J166" i="1"/>
  <c r="N166" i="1" s="1"/>
  <c r="J169" i="1"/>
  <c r="N169" i="1" s="1"/>
  <c r="J172" i="1"/>
  <c r="N172" i="1" s="1"/>
  <c r="J173" i="1"/>
  <c r="N173" i="1" s="1"/>
  <c r="J177" i="1"/>
  <c r="N177" i="1" s="1"/>
  <c r="J179" i="1"/>
  <c r="N179" i="1" s="1"/>
  <c r="J183" i="1"/>
  <c r="N183" i="1" s="1"/>
  <c r="J192" i="1"/>
  <c r="N192" i="1" s="1"/>
  <c r="J198" i="1"/>
  <c r="N198" i="1" s="1"/>
  <c r="J2" i="1"/>
  <c r="J8" i="1"/>
  <c r="J20" i="1"/>
  <c r="J23" i="1"/>
  <c r="J24" i="1"/>
  <c r="J31" i="1"/>
  <c r="J32" i="1"/>
  <c r="J35" i="1"/>
  <c r="J44" i="1"/>
  <c r="J51" i="1"/>
  <c r="J58" i="1"/>
  <c r="J64" i="1"/>
  <c r="J76" i="1"/>
  <c r="J84" i="1"/>
  <c r="J87" i="1"/>
  <c r="J90" i="1"/>
  <c r="J170" i="1"/>
  <c r="N170" i="1" s="1"/>
  <c r="J180" i="1"/>
  <c r="N180" i="1" s="1"/>
  <c r="J182" i="1"/>
  <c r="N182" i="1" s="1"/>
  <c r="J186" i="1"/>
  <c r="N186" i="1" s="1"/>
  <c r="J188" i="1"/>
  <c r="N188" i="1" s="1"/>
  <c r="J190" i="1"/>
  <c r="N190" i="1" s="1"/>
  <c r="J195" i="1"/>
  <c r="N195" i="1" s="1"/>
  <c r="J201" i="1"/>
  <c r="N201" i="1" s="1"/>
  <c r="J12" i="1"/>
  <c r="J26" i="1"/>
  <c r="J40" i="1"/>
  <c r="J41" i="1"/>
  <c r="J42" i="1"/>
  <c r="J43" i="1"/>
  <c r="J55" i="1"/>
  <c r="J61" i="1"/>
  <c r="J71" i="1"/>
  <c r="J73" i="1"/>
  <c r="J74" i="1"/>
  <c r="J77" i="1"/>
  <c r="J83" i="1"/>
  <c r="J88" i="1"/>
  <c r="J101" i="1"/>
  <c r="J104" i="1"/>
  <c r="J112" i="1"/>
  <c r="J130" i="1"/>
  <c r="N130" i="1" s="1"/>
  <c r="J131" i="1"/>
  <c r="N131" i="1" s="1"/>
  <c r="J139" i="1"/>
  <c r="N139" i="1" s="1"/>
  <c r="J158" i="1"/>
  <c r="N158" i="1" s="1"/>
  <c r="J175" i="1"/>
  <c r="N175" i="1" s="1"/>
  <c r="J176" i="1"/>
  <c r="N176" i="1" s="1"/>
  <c r="J181" i="1"/>
  <c r="N181" i="1" s="1"/>
  <c r="J184" i="1"/>
  <c r="N184" i="1" s="1"/>
  <c r="J185" i="1"/>
  <c r="N185" i="1" s="1"/>
  <c r="J4" i="1"/>
  <c r="J6" i="1"/>
  <c r="J14" i="1"/>
  <c r="J15" i="1"/>
  <c r="J17" i="1"/>
  <c r="J18" i="1"/>
  <c r="J19" i="1"/>
  <c r="J25" i="1"/>
  <c r="J27" i="1"/>
  <c r="J28" i="1"/>
  <c r="J30" i="1"/>
  <c r="J33" i="1"/>
  <c r="J34" i="1"/>
  <c r="J36" i="1"/>
  <c r="J46" i="1"/>
  <c r="J47" i="1"/>
  <c r="J49" i="1"/>
  <c r="J50" i="1"/>
  <c r="J60" i="1"/>
  <c r="J65" i="1"/>
  <c r="J66" i="1"/>
  <c r="J68" i="1"/>
  <c r="J78" i="1"/>
  <c r="J80" i="1"/>
  <c r="J82" i="1"/>
  <c r="J89" i="1"/>
  <c r="J92" i="1"/>
  <c r="J94" i="1"/>
  <c r="J97" i="1"/>
  <c r="J102" i="1"/>
  <c r="J105" i="1"/>
  <c r="J110" i="1"/>
  <c r="J113" i="1"/>
  <c r="N113" i="1" s="1"/>
  <c r="J114" i="1"/>
  <c r="N114" i="1" s="1"/>
  <c r="J120" i="1"/>
  <c r="N120" i="1" s="1"/>
  <c r="J122" i="1"/>
  <c r="J125" i="1"/>
  <c r="N125" i="1" s="1"/>
  <c r="J126" i="1"/>
  <c r="N126" i="1" s="1"/>
  <c r="J127" i="1"/>
  <c r="N127" i="1" s="1"/>
  <c r="J129" i="1"/>
  <c r="N129" i="1" s="1"/>
  <c r="J132" i="1"/>
  <c r="N132" i="1" s="1"/>
  <c r="J133" i="1"/>
  <c r="N133" i="1" s="1"/>
  <c r="J135" i="1"/>
  <c r="N135" i="1" s="1"/>
  <c r="J137" i="1"/>
  <c r="N137" i="1" s="1"/>
  <c r="N142" i="1"/>
  <c r="J148" i="1"/>
  <c r="N148" i="1" s="1"/>
  <c r="J149" i="1"/>
  <c r="N149" i="1" s="1"/>
  <c r="J154" i="1"/>
  <c r="N154" i="1" s="1"/>
  <c r="J160" i="1"/>
  <c r="N160" i="1" s="1"/>
  <c r="J164" i="1"/>
  <c r="N164" i="1" s="1"/>
  <c r="J171" i="1"/>
  <c r="N171" i="1" s="1"/>
  <c r="J174" i="1"/>
  <c r="N174" i="1" s="1"/>
  <c r="J178" i="1"/>
  <c r="N178" i="1" s="1"/>
  <c r="J187" i="1"/>
  <c r="N187" i="1" s="1"/>
  <c r="J189" i="1"/>
  <c r="N189" i="1" s="1"/>
  <c r="J191" i="1"/>
  <c r="N191" i="1" s="1"/>
  <c r="J196" i="1"/>
  <c r="N196" i="1" s="1"/>
  <c r="J200" i="1"/>
  <c r="N200" i="1" s="1"/>
  <c r="J3" i="1"/>
  <c r="J7" i="1"/>
  <c r="J11" i="1"/>
  <c r="J13" i="1"/>
  <c r="J22" i="1"/>
  <c r="J38" i="1"/>
  <c r="J39" i="1"/>
  <c r="J45" i="1"/>
  <c r="J48" i="1"/>
  <c r="J54" i="1"/>
  <c r="J59" i="1"/>
  <c r="J62" i="1"/>
  <c r="J63" i="1"/>
  <c r="J69" i="1"/>
  <c r="J79" i="1"/>
  <c r="J93" i="1"/>
  <c r="J95" i="1"/>
  <c r="J106" i="1"/>
  <c r="J115" i="1"/>
  <c r="N115" i="1" s="1"/>
  <c r="J118" i="1"/>
  <c r="N118" i="1" s="1"/>
  <c r="J119" i="1"/>
  <c r="N119" i="1" s="1"/>
  <c r="J134" i="1"/>
  <c r="N134" i="1" s="1"/>
  <c r="J152" i="1"/>
  <c r="N152" i="1" s="1"/>
  <c r="J153" i="1"/>
  <c r="N153" i="1" s="1"/>
  <c r="J159" i="1"/>
  <c r="N159" i="1" s="1"/>
  <c r="J162" i="1"/>
  <c r="N162" i="1" s="1"/>
  <c r="J163" i="1"/>
  <c r="N163" i="1" s="1"/>
  <c r="J165" i="1"/>
  <c r="N165" i="1" s="1"/>
  <c r="J193" i="1"/>
  <c r="N193" i="1" s="1"/>
  <c r="J194" i="1"/>
  <c r="N194" i="1" s="1"/>
  <c r="J98" i="1"/>
  <c r="J99" i="1"/>
  <c r="J100" i="1"/>
  <c r="J107" i="1"/>
  <c r="J108" i="1"/>
  <c r="J111" i="1"/>
  <c r="J121" i="1"/>
  <c r="N121" i="1" s="1"/>
  <c r="J128" i="1"/>
  <c r="N128" i="1" s="1"/>
  <c r="J136" i="1"/>
  <c r="N136" i="1" s="1"/>
  <c r="J143" i="1"/>
  <c r="N143" i="1" s="1"/>
  <c r="J144" i="1"/>
  <c r="N144" i="1" s="1"/>
  <c r="J145" i="1"/>
  <c r="N145" i="1" s="1"/>
  <c r="J146" i="1"/>
  <c r="N146" i="1" s="1"/>
  <c r="M146" i="1"/>
  <c r="M145" i="1"/>
  <c r="M144" i="1"/>
  <c r="M143" i="1"/>
  <c r="M136" i="1"/>
  <c r="M128" i="1"/>
  <c r="M121" i="1"/>
  <c r="M111" i="1"/>
  <c r="M108" i="1"/>
  <c r="M107" i="1"/>
  <c r="M100" i="1"/>
  <c r="M99" i="1"/>
  <c r="M98" i="1"/>
  <c r="M194" i="1"/>
  <c r="M193" i="1"/>
  <c r="M165" i="1"/>
  <c r="M163" i="1"/>
  <c r="M162" i="1"/>
  <c r="M159" i="1"/>
  <c r="M153" i="1"/>
  <c r="M152" i="1"/>
  <c r="M134" i="1"/>
  <c r="M119" i="1"/>
  <c r="M118" i="1"/>
  <c r="M115" i="1"/>
  <c r="M106" i="1"/>
  <c r="M95" i="1"/>
  <c r="M93" i="1"/>
  <c r="M79" i="1"/>
  <c r="M69" i="1"/>
  <c r="M63" i="1"/>
  <c r="M62" i="1"/>
  <c r="M59" i="1"/>
  <c r="M54" i="1"/>
  <c r="M48" i="1"/>
  <c r="M45" i="1"/>
  <c r="M39" i="1"/>
  <c r="M38" i="1"/>
  <c r="M22" i="1"/>
  <c r="M13" i="1"/>
  <c r="M11" i="1"/>
  <c r="M7" i="1"/>
  <c r="M3" i="1"/>
  <c r="M200" i="1"/>
  <c r="M196" i="1"/>
  <c r="M191" i="1"/>
  <c r="M189" i="1"/>
  <c r="M187" i="1"/>
  <c r="M178" i="1"/>
  <c r="M174" i="1"/>
  <c r="M171" i="1"/>
  <c r="M164" i="1"/>
  <c r="M160" i="1"/>
  <c r="M154" i="1"/>
  <c r="M149" i="1"/>
  <c r="M148" i="1"/>
  <c r="M142" i="1"/>
  <c r="M137" i="1"/>
  <c r="M135" i="1"/>
  <c r="M133" i="1"/>
  <c r="M132" i="1"/>
  <c r="M129" i="1"/>
  <c r="M127" i="1"/>
  <c r="M126" i="1"/>
  <c r="M125" i="1"/>
  <c r="M120" i="1"/>
  <c r="M114" i="1"/>
  <c r="M113" i="1"/>
  <c r="M110" i="1"/>
  <c r="M105" i="1"/>
  <c r="M102" i="1"/>
  <c r="M97" i="1"/>
  <c r="M94" i="1"/>
  <c r="M92" i="1"/>
  <c r="M89" i="1"/>
  <c r="M82" i="1"/>
  <c r="M80" i="1"/>
  <c r="M78" i="1"/>
  <c r="M68" i="1"/>
  <c r="M66" i="1"/>
  <c r="M65" i="1"/>
  <c r="M60" i="1"/>
  <c r="M49" i="1"/>
  <c r="M47" i="1"/>
  <c r="M46" i="1"/>
  <c r="M36" i="1"/>
  <c r="M34" i="1"/>
  <c r="M33" i="1"/>
  <c r="M30" i="1"/>
  <c r="M28" i="1"/>
  <c r="M27" i="1"/>
  <c r="M25" i="1"/>
  <c r="M19" i="1"/>
  <c r="M18" i="1"/>
  <c r="M17" i="1"/>
  <c r="M15" i="1"/>
  <c r="M6" i="1"/>
  <c r="M4" i="1"/>
  <c r="M185" i="1"/>
  <c r="M184" i="1"/>
  <c r="M181" i="1"/>
  <c r="M176" i="1"/>
  <c r="M175" i="1"/>
  <c r="M158" i="1"/>
  <c r="M139" i="1"/>
  <c r="M131" i="1"/>
  <c r="M130" i="1"/>
  <c r="M112" i="1"/>
  <c r="M104" i="1"/>
  <c r="M101" i="1"/>
  <c r="M88" i="1"/>
  <c r="M83" i="1"/>
  <c r="M77" i="1"/>
  <c r="M74" i="1"/>
  <c r="M73" i="1"/>
  <c r="M71" i="1"/>
  <c r="M61" i="1"/>
  <c r="M55" i="1"/>
  <c r="M43" i="1"/>
  <c r="M42" i="1"/>
  <c r="M41" i="1"/>
  <c r="M40" i="1"/>
  <c r="M26" i="1"/>
  <c r="M12" i="1"/>
  <c r="M201" i="1"/>
  <c r="M195" i="1"/>
  <c r="M190" i="1"/>
  <c r="M188" i="1"/>
  <c r="M186" i="1"/>
  <c r="M182" i="1"/>
  <c r="M180" i="1"/>
  <c r="M170" i="1"/>
  <c r="M90" i="1"/>
  <c r="M87" i="1"/>
  <c r="M84" i="1"/>
  <c r="M76" i="1"/>
  <c r="M64" i="1"/>
  <c r="M58" i="1"/>
  <c r="M51" i="1"/>
  <c r="M44" i="1"/>
  <c r="M35" i="1"/>
  <c r="M32" i="1"/>
  <c r="M31" i="1"/>
  <c r="M24" i="1"/>
  <c r="M23" i="1"/>
  <c r="M20" i="1"/>
  <c r="M8" i="1"/>
  <c r="M2" i="1"/>
  <c r="M198" i="1"/>
  <c r="M192" i="1"/>
  <c r="M183" i="1"/>
  <c r="M179" i="1"/>
  <c r="M177" i="1"/>
  <c r="M173" i="1"/>
  <c r="M172" i="1"/>
  <c r="M169" i="1"/>
  <c r="M166" i="1"/>
  <c r="M156" i="1"/>
  <c r="M141" i="1"/>
  <c r="M123" i="1"/>
  <c r="M117" i="1"/>
  <c r="M116" i="1"/>
  <c r="M109" i="1"/>
  <c r="M91" i="1"/>
  <c r="M86" i="1"/>
  <c r="M81" i="1"/>
  <c r="M72" i="1"/>
  <c r="M70" i="1"/>
  <c r="M67" i="1"/>
  <c r="M57" i="1"/>
  <c r="M56" i="1"/>
  <c r="M52" i="1"/>
  <c r="M16" i="1"/>
  <c r="M9" i="1"/>
  <c r="M85" i="1"/>
  <c r="M199" i="1"/>
  <c r="M197" i="1"/>
  <c r="M155" i="1"/>
  <c r="M140" i="1"/>
  <c r="M138" i="1"/>
  <c r="M124" i="1"/>
  <c r="M103" i="1"/>
  <c r="M96" i="1"/>
  <c r="M75" i="1"/>
  <c r="M53" i="1"/>
  <c r="M37" i="1"/>
  <c r="M21" i="1"/>
  <c r="M168" i="1"/>
  <c r="M167" i="1"/>
  <c r="M161" i="1"/>
  <c r="M157" i="1"/>
  <c r="M151" i="1"/>
  <c r="M150" i="1"/>
  <c r="M147" i="1"/>
  <c r="M29" i="1"/>
  <c r="M10" i="1"/>
  <c r="M5" i="1"/>
  <c r="N111" i="1" l="1"/>
  <c r="N108" i="1"/>
  <c r="N107" i="1"/>
  <c r="N100" i="1"/>
  <c r="N99" i="1"/>
  <c r="N98" i="1"/>
  <c r="N106" i="1"/>
  <c r="N95" i="1"/>
  <c r="N93" i="1"/>
  <c r="N79" i="1"/>
  <c r="N69" i="1"/>
  <c r="N63" i="1"/>
  <c r="N62" i="1"/>
  <c r="N59" i="1"/>
  <c r="N54" i="1"/>
  <c r="N48" i="1"/>
  <c r="N45" i="1"/>
  <c r="N39" i="1"/>
  <c r="N38" i="1"/>
  <c r="N22" i="1"/>
  <c r="N13" i="1"/>
  <c r="N11" i="1"/>
  <c r="N7" i="1"/>
  <c r="N3" i="1"/>
  <c r="N110" i="1"/>
  <c r="N105" i="1"/>
  <c r="N102" i="1"/>
  <c r="N97" i="1"/>
  <c r="N94" i="1"/>
  <c r="N92" i="1"/>
  <c r="N89" i="1"/>
  <c r="N82" i="1"/>
  <c r="N80" i="1"/>
  <c r="N78" i="1"/>
  <c r="N68" i="1"/>
  <c r="N66" i="1"/>
  <c r="N65" i="1"/>
  <c r="N60" i="1"/>
  <c r="N49" i="1"/>
  <c r="N47" i="1"/>
  <c r="N46" i="1"/>
  <c r="N36" i="1"/>
  <c r="N34" i="1"/>
  <c r="N33" i="1"/>
  <c r="N30" i="1"/>
  <c r="N28" i="1"/>
  <c r="N27" i="1"/>
  <c r="N25" i="1"/>
  <c r="N19" i="1"/>
  <c r="N18" i="1"/>
  <c r="N17" i="1"/>
  <c r="N15" i="1"/>
  <c r="N6" i="1"/>
  <c r="N4" i="1"/>
  <c r="N112" i="1"/>
  <c r="N104" i="1"/>
  <c r="N101" i="1"/>
  <c r="N88" i="1"/>
  <c r="N83" i="1"/>
  <c r="N77" i="1"/>
  <c r="N74" i="1"/>
  <c r="N73" i="1"/>
  <c r="N71" i="1"/>
  <c r="N61" i="1"/>
  <c r="N55" i="1"/>
  <c r="N43" i="1"/>
  <c r="N42" i="1"/>
  <c r="N41" i="1"/>
  <c r="N40" i="1"/>
  <c r="N26" i="1"/>
  <c r="N12" i="1"/>
  <c r="N90" i="1"/>
  <c r="N87" i="1"/>
  <c r="N84" i="1"/>
  <c r="N76" i="1"/>
  <c r="N64" i="1"/>
  <c r="N58" i="1"/>
  <c r="N51" i="1"/>
  <c r="N44" i="1"/>
  <c r="N35" i="1"/>
  <c r="N32" i="1"/>
  <c r="N31" i="1"/>
  <c r="N24" i="1"/>
  <c r="N23" i="1"/>
  <c r="N20" i="1"/>
  <c r="N8" i="1"/>
  <c r="N109" i="1"/>
  <c r="N91" i="1"/>
  <c r="N86" i="1"/>
  <c r="N81" i="1"/>
  <c r="N72" i="1"/>
  <c r="N70" i="1"/>
  <c r="N67" i="1"/>
  <c r="N57" i="1"/>
  <c r="N56" i="1"/>
  <c r="N52" i="1"/>
  <c r="N16" i="1"/>
  <c r="N9" i="1"/>
  <c r="N85" i="1"/>
  <c r="N103" i="1"/>
  <c r="N96" i="1"/>
  <c r="N75" i="1"/>
  <c r="N53" i="1"/>
  <c r="N37" i="1"/>
  <c r="N21" i="1"/>
  <c r="N29" i="1"/>
  <c r="N10" i="1"/>
  <c r="N5" i="1"/>
  <c r="N2" i="1"/>
  <c r="M122" i="1"/>
  <c r="N122" i="1"/>
  <c r="N50" i="1"/>
  <c r="M50" i="1"/>
  <c r="M14" i="1"/>
  <c r="N14" i="1"/>
  <c r="D1" i="8"/>
  <c r="C1" i="8"/>
</calcChain>
</file>

<file path=xl/sharedStrings.xml><?xml version="1.0" encoding="utf-8"?>
<sst xmlns="http://schemas.openxmlformats.org/spreadsheetml/2006/main" count="1536" uniqueCount="636">
  <si>
    <t>Team</t>
  </si>
  <si>
    <t>Sale</t>
  </si>
  <si>
    <t xml:space="preserve"> Total Payment</t>
  </si>
  <si>
    <t>Total Due</t>
  </si>
  <si>
    <t>Tiwari Jee</t>
  </si>
  <si>
    <t>Barun Thakur</t>
  </si>
  <si>
    <t>Chandan</t>
  </si>
  <si>
    <t>Vijay Jha</t>
  </si>
  <si>
    <t>Gagloo Mishra</t>
  </si>
  <si>
    <t>Gandhi Jee</t>
  </si>
  <si>
    <t xml:space="preserve"> </t>
  </si>
  <si>
    <t>Vivek</t>
  </si>
  <si>
    <t>Ajay</t>
  </si>
  <si>
    <t>Grand Total</t>
  </si>
  <si>
    <t>Recency Status</t>
  </si>
  <si>
    <t xml:space="preserve">Total Client </t>
  </si>
  <si>
    <t>Active</t>
  </si>
  <si>
    <t>Inactive</t>
  </si>
  <si>
    <t>Moderate</t>
  </si>
  <si>
    <t>Credit Risk</t>
  </si>
  <si>
    <t>Sum of Total Sale</t>
  </si>
  <si>
    <t>Sum of DUE</t>
  </si>
  <si>
    <t>Critical</t>
  </si>
  <si>
    <t>Low</t>
  </si>
  <si>
    <t>Medium</t>
  </si>
  <si>
    <t>High</t>
  </si>
  <si>
    <t>Very High</t>
  </si>
  <si>
    <t>Sale Month</t>
  </si>
  <si>
    <t>SALE</t>
  </si>
  <si>
    <t>Collection</t>
  </si>
  <si>
    <t>Jan</t>
  </si>
  <si>
    <t>Nov</t>
  </si>
  <si>
    <t>Dec</t>
  </si>
  <si>
    <t>(All)</t>
  </si>
  <si>
    <t>Client Name</t>
  </si>
  <si>
    <t>Latest Payment</t>
  </si>
  <si>
    <t>Hind Refrigeration</t>
  </si>
  <si>
    <t>City Mobile</t>
  </si>
  <si>
    <t>Rakesh Gallery</t>
  </si>
  <si>
    <t>Keshav Watch</t>
  </si>
  <si>
    <t>Shyam Mobile</t>
  </si>
  <si>
    <t>Krishna Connect</t>
  </si>
  <si>
    <t>Vikash Point</t>
  </si>
  <si>
    <t>Priya Yadav Centre</t>
  </si>
  <si>
    <t>Suresh Store</t>
  </si>
  <si>
    <t>Nand Care</t>
  </si>
  <si>
    <t>Jai Enterprises World</t>
  </si>
  <si>
    <t>Kanak Brothers Traders</t>
  </si>
  <si>
    <t>Om Electronics</t>
  </si>
  <si>
    <t>Nand Choudhary Watch</t>
  </si>
  <si>
    <t>Sanjeev Ji Store</t>
  </si>
  <si>
    <t>Deepak Gupta Sales</t>
  </si>
  <si>
    <t>Mahesh Shop</t>
  </si>
  <si>
    <t>Saraswati Gallery</t>
  </si>
  <si>
    <t>Jai Care</t>
  </si>
  <si>
    <t>Jyoti Vision</t>
  </si>
  <si>
    <t>Shyam Communication</t>
  </si>
  <si>
    <t>Shyam Centre</t>
  </si>
  <si>
    <t>Raja Choudhary Agency</t>
  </si>
  <si>
    <t>Manoj Das Mobile</t>
  </si>
  <si>
    <t>Mister Mobile</t>
  </si>
  <si>
    <t>Baba Sales</t>
  </si>
  <si>
    <t>Raja Enterprises</t>
  </si>
  <si>
    <t>Siddhivinayak Thakur Store</t>
  </si>
  <si>
    <t>Manoj Radio</t>
  </si>
  <si>
    <t>Janki Yadav Shop</t>
  </si>
  <si>
    <t>Ramesh Store</t>
  </si>
  <si>
    <t>Nand Roy Mobile</t>
  </si>
  <si>
    <t>Tirhut Point</t>
  </si>
  <si>
    <t>Mithila Radio</t>
  </si>
  <si>
    <t>Priya Connect</t>
  </si>
  <si>
    <t>Keshav Sah Enterprises</t>
  </si>
  <si>
    <t>Bajrang Traders</t>
  </si>
  <si>
    <t>Vikash Mishra Sales</t>
  </si>
  <si>
    <t>Kishor Traders</t>
  </si>
  <si>
    <t>Durga Yadav Shop</t>
  </si>
  <si>
    <t>Sri Care</t>
  </si>
  <si>
    <t>Raja Sahu Store</t>
  </si>
  <si>
    <t>Nand Mobile</t>
  </si>
  <si>
    <t>Baba Digital</t>
  </si>
  <si>
    <t>Om Traders Service</t>
  </si>
  <si>
    <t>Siddhivinayak Choudhary Communication</t>
  </si>
  <si>
    <t>Om Vision</t>
  </si>
  <si>
    <t>Ramesh Sales</t>
  </si>
  <si>
    <t>Manoj Hub</t>
  </si>
  <si>
    <t>Aditya Sah Radio</t>
  </si>
  <si>
    <t>Raju Enterprises</t>
  </si>
  <si>
    <t>Anjali Gallery</t>
  </si>
  <si>
    <t>Mahesh Zone</t>
  </si>
  <si>
    <t>Bholenath Electronics</t>
  </si>
  <si>
    <t>Vidyapati Connect</t>
  </si>
  <si>
    <t>Vikash Telecom</t>
  </si>
  <si>
    <t>Siddhivinayak Electronics</t>
  </si>
  <si>
    <t>Murari</t>
  </si>
  <si>
    <t>Jyoti Zone</t>
  </si>
  <si>
    <t>Deepak Communication</t>
  </si>
  <si>
    <t>Mahesh Enterprises Service</t>
  </si>
  <si>
    <t>Raj Zone</t>
  </si>
  <si>
    <t>Maa Point</t>
  </si>
  <si>
    <t>Bajrang Radio</t>
  </si>
  <si>
    <t>Madhav Ji Enterprises</t>
  </si>
  <si>
    <t>Siddhivinayak Thakur Point</t>
  </si>
  <si>
    <t>Shivam</t>
  </si>
  <si>
    <t>Mithila Enterprises Centre</t>
  </si>
  <si>
    <t>Amit Connect</t>
  </si>
  <si>
    <t>Jyoti Singh Mobile</t>
  </si>
  <si>
    <t>Baba Electronics</t>
  </si>
  <si>
    <t>Suresh Centre</t>
  </si>
  <si>
    <t>Jyoti Communication</t>
  </si>
  <si>
    <t>Kosi Centre</t>
  </si>
  <si>
    <t>Vidyapati Vision</t>
  </si>
  <si>
    <t>Maa Service</t>
  </si>
  <si>
    <t>Madhav Sales</t>
  </si>
  <si>
    <t>Kosi Sales</t>
  </si>
  <si>
    <t>Saraswati Mobile</t>
  </si>
  <si>
    <t>Bholenath Jha Sales</t>
  </si>
  <si>
    <t>Royal Communication</t>
  </si>
  <si>
    <t>Saraswati Care</t>
  </si>
  <si>
    <t>Priya Pandey Service</t>
  </si>
  <si>
    <t>Rakesh Centre</t>
  </si>
  <si>
    <t>Shayam Electronics</t>
  </si>
  <si>
    <t>Keshav Centre</t>
  </si>
  <si>
    <t>Ganesh Enterprises</t>
  </si>
  <si>
    <t>Sumit Ji Centre</t>
  </si>
  <si>
    <t>Madhu Electric</t>
  </si>
  <si>
    <t>Ganesh Mobile</t>
  </si>
  <si>
    <t>Mukesh Das Vision</t>
  </si>
  <si>
    <t>Mahesh Agency</t>
  </si>
  <si>
    <t>New Roy Telecom</t>
  </si>
  <si>
    <t>Karak Furniture</t>
  </si>
  <si>
    <t>Bolbam Steel</t>
  </si>
  <si>
    <t>Tirhut Watch</t>
  </si>
  <si>
    <t>Sri World</t>
  </si>
  <si>
    <t>Manoj Mobile</t>
  </si>
  <si>
    <t>Raj Electronics Naresh Kumar</t>
  </si>
  <si>
    <t>Govind Gallery</t>
  </si>
  <si>
    <t>Kamakhya Electronics</t>
  </si>
  <si>
    <t>Sri Communication</t>
  </si>
  <si>
    <t>Hasan Electronics</t>
  </si>
  <si>
    <t>Vikash Care</t>
  </si>
  <si>
    <t>Rangeela</t>
  </si>
  <si>
    <t>Sri Hub</t>
  </si>
  <si>
    <t>Puja Telecom</t>
  </si>
  <si>
    <t>Kanak Watch</t>
  </si>
  <si>
    <t>Jahid Enterprise</t>
  </si>
  <si>
    <t>Natwar Enterprise</t>
  </si>
  <si>
    <t>Rakesh Sales</t>
  </si>
  <si>
    <t>Sana Electronics</t>
  </si>
  <si>
    <t>Om Roy Connect</t>
  </si>
  <si>
    <t>Raj Electronics</t>
  </si>
  <si>
    <t>Raj Electronics Supaul</t>
  </si>
  <si>
    <t>Vivek Communication</t>
  </si>
  <si>
    <t>Neha Care</t>
  </si>
  <si>
    <t>Manoj Ji</t>
  </si>
  <si>
    <t>Ranjit</t>
  </si>
  <si>
    <t>Mv Mobile</t>
  </si>
  <si>
    <t>Bechan Silai Machine</t>
  </si>
  <si>
    <t>Sanjeev Hub</t>
  </si>
  <si>
    <t>Surya General Store</t>
  </si>
  <si>
    <t>Babul Electronics</t>
  </si>
  <si>
    <t>Bablu Electronics</t>
  </si>
  <si>
    <t>Janki Store</t>
  </si>
  <si>
    <t>Manokamna</t>
  </si>
  <si>
    <t>Sufiyan</t>
  </si>
  <si>
    <t>Kanak Electronics</t>
  </si>
  <si>
    <t>Ganpati Service</t>
  </si>
  <si>
    <t>Bajrang Das Traders</t>
  </si>
  <si>
    <t>Shiv Shakti Furniture</t>
  </si>
  <si>
    <t>Aryan Centre</t>
  </si>
  <si>
    <t>Jai Hub</t>
  </si>
  <si>
    <t>Vc Cooler Zahid</t>
  </si>
  <si>
    <t>Raja Sahu Vision</t>
  </si>
  <si>
    <t>Bajrang Singh Vision</t>
  </si>
  <si>
    <t>Madhav Agency Shop</t>
  </si>
  <si>
    <t>Ganpati Agency</t>
  </si>
  <si>
    <t>Mithila Roy Agency</t>
  </si>
  <si>
    <t>Saanvi</t>
  </si>
  <si>
    <t>Bholenath Digital</t>
  </si>
  <si>
    <t>Pankaj Agency</t>
  </si>
  <si>
    <t>Ganpati Radio</t>
  </si>
  <si>
    <t>Ugna</t>
  </si>
  <si>
    <t>Vijendra</t>
  </si>
  <si>
    <t>Govind Shop</t>
  </si>
  <si>
    <t>Aryan Zone</t>
  </si>
  <si>
    <t>Pankaj Electronics</t>
  </si>
  <si>
    <t>Aayat</t>
  </si>
  <si>
    <t>Bholenath Radio</t>
  </si>
  <si>
    <t>Madhav Thakur Mobile</t>
  </si>
  <si>
    <t>Bhawani Electronics</t>
  </si>
  <si>
    <t>Mithila Care</t>
  </si>
  <si>
    <t>Raj Watch</t>
  </si>
  <si>
    <t>Gopal Thakur World</t>
  </si>
  <si>
    <t>Ganesh Watch</t>
  </si>
  <si>
    <t>Mandal Ji</t>
  </si>
  <si>
    <t>Pankaj Radio</t>
  </si>
  <si>
    <t>Rangeela Enterprises</t>
  </si>
  <si>
    <t>Nand Vision</t>
  </si>
  <si>
    <t>Gauri Electronics</t>
  </si>
  <si>
    <t>Bala Ji</t>
  </si>
  <si>
    <t>Rakesh Traders</t>
  </si>
  <si>
    <t>Shri Ram Electronics</t>
  </si>
  <si>
    <t>Aditya Mobile</t>
  </si>
  <si>
    <t>Abhishek</t>
  </si>
  <si>
    <t>Mishra Mobile</t>
  </si>
  <si>
    <t>Shri Sai Mobile</t>
  </si>
  <si>
    <t>Vatika</t>
  </si>
  <si>
    <t>Bajrang Choudhary Traders</t>
  </si>
  <si>
    <t>Rajdhani</t>
  </si>
  <si>
    <t>Shree Gallery</t>
  </si>
  <si>
    <t>Kishor World</t>
  </si>
  <si>
    <t>Gopal Brothers World</t>
  </si>
  <si>
    <t>Sahu Bartan</t>
  </si>
  <si>
    <t>Ramesh Communication</t>
  </si>
  <si>
    <t>Maa Telecom</t>
  </si>
  <si>
    <t>Kali Shop</t>
  </si>
  <si>
    <t>Vinayak Agency Agency</t>
  </si>
  <si>
    <t>Aditya Point</t>
  </si>
  <si>
    <t>Sumit Telecom</t>
  </si>
  <si>
    <t>Kishor Electronics</t>
  </si>
  <si>
    <t>Aditya Communication</t>
  </si>
  <si>
    <t>Ganesh Point</t>
  </si>
  <si>
    <t>Saraswati Watch</t>
  </si>
  <si>
    <t>Lal Jee And Sons</t>
  </si>
  <si>
    <t>Rs Electronics</t>
  </si>
  <si>
    <t>Vidyapati Point</t>
  </si>
  <si>
    <t>Sumit Thakur Hub</t>
  </si>
  <si>
    <t>Galaxy</t>
  </si>
  <si>
    <t>Kali Ji Sales</t>
  </si>
  <si>
    <t>Sri Telecom</t>
  </si>
  <si>
    <t>Vidyapati Shop</t>
  </si>
  <si>
    <t>Raju Brothers Gallery</t>
  </si>
  <si>
    <t>Kishor Agency Electronics</t>
  </si>
  <si>
    <t>Sumit Zone</t>
  </si>
  <si>
    <t>Durga Yadav Enterprises</t>
  </si>
  <si>
    <t>Anjali Mobile</t>
  </si>
  <si>
    <t>Kosi Digital</t>
  </si>
  <si>
    <t>(blank)</t>
  </si>
  <si>
    <t xml:space="preserve">p
</t>
  </si>
  <si>
    <t>Total Sales</t>
  </si>
  <si>
    <t xml:space="preserve">Total Payment </t>
  </si>
  <si>
    <t>Due</t>
  </si>
  <si>
    <t>Efficiency</t>
  </si>
  <si>
    <t>Count of Client Name</t>
  </si>
  <si>
    <t>Address</t>
  </si>
  <si>
    <t>Total Sale</t>
  </si>
  <si>
    <t>Last Sale Date</t>
  </si>
  <si>
    <t>Total Payment</t>
  </si>
  <si>
    <t>Payment Month</t>
  </si>
  <si>
    <t>Last Payment Date</t>
  </si>
  <si>
    <t>DUE</t>
  </si>
  <si>
    <t>Sales Frequency</t>
  </si>
  <si>
    <t>Payment Freqency</t>
  </si>
  <si>
    <t>Balance_status</t>
  </si>
  <si>
    <t>Days Since Last Collection</t>
  </si>
  <si>
    <t>Alinagar</t>
  </si>
  <si>
    <t>Sakatpur</t>
  </si>
  <si>
    <t>East Gangania</t>
  </si>
  <si>
    <t>Sarisab Pahi, Near High School</t>
  </si>
  <si>
    <t>Nehra Ward 15</t>
  </si>
  <si>
    <t>Jhanjharpur</t>
  </si>
  <si>
    <t>Muzaffarpur Road,  Mandir</t>
  </si>
  <si>
    <t>Ranipur, Station Road</t>
  </si>
  <si>
    <t>Tower Chowk Ward 2</t>
  </si>
  <si>
    <t>Mirzapur Ward 15</t>
  </si>
  <si>
    <t>Jhanjharpur, Cinema Road</t>
  </si>
  <si>
    <t>Phulparas</t>
  </si>
  <si>
    <t>Muzaffarpur Road Chowk</t>
  </si>
  <si>
    <t>Mansapur Market</t>
  </si>
  <si>
    <t>Madhepur</t>
  </si>
  <si>
    <t>Supaul</t>
  </si>
  <si>
    <t>Dalsingsarai Chowk</t>
  </si>
  <si>
    <t>Belwaganj Ward 5</t>
  </si>
  <si>
    <t>Laukaha Ghat</t>
  </si>
  <si>
    <t>Biraul, Near High School</t>
  </si>
  <si>
    <t>West Ratanpur</t>
  </si>
  <si>
    <t>Khahauli</t>
  </si>
  <si>
    <t>Bakerganj Ward 13</t>
  </si>
  <si>
    <t>Kaptanganj</t>
  </si>
  <si>
    <t>Paithan Kabai Bazar</t>
  </si>
  <si>
    <t>Benta, Near High School</t>
  </si>
  <si>
    <t>Kusheshwar</t>
  </si>
  <si>
    <t>Hajipur</t>
  </si>
  <si>
    <t>Rajnagar Ward 3</t>
  </si>
  <si>
    <t>Station Road</t>
  </si>
  <si>
    <t>New Hanuman Nagar</t>
  </si>
  <si>
    <t>Lakhnaur Ward 6</t>
  </si>
  <si>
    <t>Ashapur</t>
  </si>
  <si>
    <t>East Benta</t>
  </si>
  <si>
    <t>Ghoghardiya</t>
  </si>
  <si>
    <t>Hayaghat Bazar</t>
  </si>
  <si>
    <t>Biraul Ghat</t>
  </si>
  <si>
    <t>Kishanpur, Darbhanga</t>
  </si>
  <si>
    <t>Sobhan</t>
  </si>
  <si>
    <t>Kaluahi, Darbhanga</t>
  </si>
  <si>
    <t>Anhrathari</t>
  </si>
  <si>
    <t>Gangwara</t>
  </si>
  <si>
    <t>Babubarhi,  Bank</t>
  </si>
  <si>
    <t>Ujan</t>
  </si>
  <si>
    <t>Dalsingsarai, Madhubani</t>
  </si>
  <si>
    <t>Nari</t>
  </si>
  <si>
    <t>Khutauna</t>
  </si>
  <si>
    <t>Madhubani</t>
  </si>
  <si>
    <t>Hayaghat, Darbhanga</t>
  </si>
  <si>
    <t>Main Warishnagar</t>
  </si>
  <si>
    <t>Ghoghardiha</t>
  </si>
  <si>
    <t>Main Benipur</t>
  </si>
  <si>
    <t>Madhubani Bazar</t>
  </si>
  <si>
    <t>Saurath Asthan</t>
  </si>
  <si>
    <t>Bisfi Ward 6</t>
  </si>
  <si>
    <t>Belwaganj, Madhubani</t>
  </si>
  <si>
    <t>Bengra,  Bank</t>
  </si>
  <si>
    <t>Benipur Ward 6</t>
  </si>
  <si>
    <t>Mirzapur, Darbhanga</t>
  </si>
  <si>
    <t>Ratanpur</t>
  </si>
  <si>
    <t>Khajauli Ward 13</t>
  </si>
  <si>
    <t>Jhanjharpur Rs More</t>
  </si>
  <si>
    <t>Kishanpur</t>
  </si>
  <si>
    <t>Bhagwatipur</t>
  </si>
  <si>
    <t>Sakatpur, Station Road</t>
  </si>
  <si>
    <t>West Kakraul</t>
  </si>
  <si>
    <t>Warishnagar</t>
  </si>
  <si>
    <t>Laukaha Ward 9</t>
  </si>
  <si>
    <t>Lakhnaur, Madhubani</t>
  </si>
  <si>
    <t>Jhanjharpur,  Mandir</t>
  </si>
  <si>
    <t>Laheriasarai Ward 6</t>
  </si>
  <si>
    <t>Tardih</t>
  </si>
  <si>
    <t xml:space="preserve">Jhanjharpur </t>
  </si>
  <si>
    <t>Shankarpur, Madhubani</t>
  </si>
  <si>
    <t>Ladania, Hospital Road</t>
  </si>
  <si>
    <t>Bharwara</t>
  </si>
  <si>
    <t>East Ujan</t>
  </si>
  <si>
    <t>Main Bharwara</t>
  </si>
  <si>
    <t>Mirzapur, Near High School</t>
  </si>
  <si>
    <t>Lakhnaur Asthan</t>
  </si>
  <si>
    <t>Mangrauni Naka</t>
  </si>
  <si>
    <t>Manigachhi, Hospital Road</t>
  </si>
  <si>
    <t>South Shivdhara</t>
  </si>
  <si>
    <t>Benipur</t>
  </si>
  <si>
    <t>Kusheshwar Asthan, Near High School</t>
  </si>
  <si>
    <t>Old Tardih</t>
  </si>
  <si>
    <t>Gudri, Station Road</t>
  </si>
  <si>
    <t>Warishnagar Road</t>
  </si>
  <si>
    <t>Simri Ward 3</t>
  </si>
  <si>
    <t>Simri</t>
  </si>
  <si>
    <t>Bengra</t>
  </si>
  <si>
    <t>Jhanjharpur Ward 12</t>
  </si>
  <si>
    <t>Kakraul, Near High School</t>
  </si>
  <si>
    <t>Lokhi</t>
  </si>
  <si>
    <t xml:space="preserve">Sakri </t>
  </si>
  <si>
    <t>Belwaganj, Near High School</t>
  </si>
  <si>
    <t>West Station Road</t>
  </si>
  <si>
    <t>Jale, Cinema Road</t>
  </si>
  <si>
    <t>North Keoti</t>
  </si>
  <si>
    <t>Lokha</t>
  </si>
  <si>
    <t>Khutauna Ward 13</t>
  </si>
  <si>
    <t>Hospital Road, Near High School</t>
  </si>
  <si>
    <t>Bhowara, Darbhanga</t>
  </si>
  <si>
    <t>Basopatti Ward 12</t>
  </si>
  <si>
    <t>Shankarpur</t>
  </si>
  <si>
    <t>Shivnaharghat</t>
  </si>
  <si>
    <t>Alinagar, Cinema Road</t>
  </si>
  <si>
    <t>Bakerganj Naka</t>
  </si>
  <si>
    <t>Muzaffarpur Road Ward 9</t>
  </si>
  <si>
    <t>Maulaganj,  Mandir</t>
  </si>
  <si>
    <t>Beta, Station Road</t>
  </si>
  <si>
    <t>Gangwara, Hospital Road</t>
  </si>
  <si>
    <t>Ekmi</t>
  </si>
  <si>
    <t>Ranti</t>
  </si>
  <si>
    <t>New Jhanjharpur Rs</t>
  </si>
  <si>
    <t>Main Maulaganj</t>
  </si>
  <si>
    <t>Sakri, Madhubani</t>
  </si>
  <si>
    <t>Bengra, Darbhanga</t>
  </si>
  <si>
    <t>Baheri</t>
  </si>
  <si>
    <t>Supaul Darbhanga</t>
  </si>
  <si>
    <t>Ratanpur, Madhubani</t>
  </si>
  <si>
    <t>Madhubani, Darbhanga</t>
  </si>
  <si>
    <t>North Narahiya</t>
  </si>
  <si>
    <t>Manigachhi Ward 1</t>
  </si>
  <si>
    <t>Madhepur, Madhubani</t>
  </si>
  <si>
    <t>Madhepur, Darbhanga</t>
  </si>
  <si>
    <t>Lohat Ward 13</t>
  </si>
  <si>
    <t>Mangrauni Ward 10</t>
  </si>
  <si>
    <t>West Delhi More</t>
  </si>
  <si>
    <t>Babubarhi More</t>
  </si>
  <si>
    <t>Bahadurpur Road</t>
  </si>
  <si>
    <t>Station Road, Darbhanga</t>
  </si>
  <si>
    <t>Main Shivdhara</t>
  </si>
  <si>
    <t>Babubarhi, Madhubani</t>
  </si>
  <si>
    <t>Babubarhi</t>
  </si>
  <si>
    <t>Beta Chowk</t>
  </si>
  <si>
    <t>Bhowara Ward 15</t>
  </si>
  <si>
    <t>Bahera</t>
  </si>
  <si>
    <t>Muzaffarpur Road More</t>
  </si>
  <si>
    <t>Beta Road</t>
  </si>
  <si>
    <t>Jale</t>
  </si>
  <si>
    <t>South Paithan Kabai</t>
  </si>
  <si>
    <t>Main Pindaruch</t>
  </si>
  <si>
    <t>Lohat,  Bank</t>
  </si>
  <si>
    <t>Tatuaar</t>
  </si>
  <si>
    <t>Saharghat</t>
  </si>
  <si>
    <t>Pandaul</t>
  </si>
  <si>
    <t>Singhwara</t>
  </si>
  <si>
    <t>Bhowara Naka</t>
  </si>
  <si>
    <t>Supaul Bazar Chowk</t>
  </si>
  <si>
    <t>Siddhivinayak Communication</t>
  </si>
  <si>
    <t>New Benipatti</t>
  </si>
  <si>
    <t>West Hayaghat</t>
  </si>
  <si>
    <t>Alinagar Ward 15</t>
  </si>
  <si>
    <t>South Khutauna</t>
  </si>
  <si>
    <t>Saurath Market</t>
  </si>
  <si>
    <t>Old Kathalbari</t>
  </si>
  <si>
    <t>Ujan Ward 5</t>
  </si>
  <si>
    <t>Babubarhi Ghat</t>
  </si>
  <si>
    <t>Main Saurath</t>
  </si>
  <si>
    <t>Baheri, Darbhanga</t>
  </si>
  <si>
    <t>Main Kishanpur</t>
  </si>
  <si>
    <t>Bharwara Ward 1</t>
  </si>
  <si>
    <t>Donar</t>
  </si>
  <si>
    <t>New Station Road</t>
  </si>
  <si>
    <t>Benipatti</t>
  </si>
  <si>
    <t>Paithan Kabai Ward 6</t>
  </si>
  <si>
    <t>Bharwara Naka</t>
  </si>
  <si>
    <t>Mirjapur</t>
  </si>
  <si>
    <t>Harlakhi Ward 10</t>
  </si>
  <si>
    <t>South Urdu Bazar</t>
  </si>
  <si>
    <t>Hospital Road Ward 5</t>
  </si>
  <si>
    <t>West Kadirabad</t>
  </si>
  <si>
    <t>Rajnagar, Darbhanga</t>
  </si>
  <si>
    <t>Benipur Ward 12</t>
  </si>
  <si>
    <t>Bisfi Ward 7</t>
  </si>
  <si>
    <t>Client_Name</t>
  </si>
  <si>
    <t>Payment_Frequency_Per_Month</t>
  </si>
  <si>
    <t>Maa Sita Electronics 1</t>
  </si>
  <si>
    <t>Darbhanga</t>
  </si>
  <si>
    <t>Ravi Electronics 2</t>
  </si>
  <si>
    <t>Shivam Electronics 3</t>
  </si>
  <si>
    <t>Om Electronics 4</t>
  </si>
  <si>
    <t>Sai Electronics 5</t>
  </si>
  <si>
    <t>Ganpati Electronics 6</t>
  </si>
  <si>
    <t>Maa Sita Electronics 7</t>
  </si>
  <si>
    <t>Sakri</t>
  </si>
  <si>
    <t>Sai Electronics 8</t>
  </si>
  <si>
    <t>Suresh Electronics 9</t>
  </si>
  <si>
    <t>Sai Electronics 10</t>
  </si>
  <si>
    <t>Krishna Electronics 11</t>
  </si>
  <si>
    <t>Raj Electronics 12</t>
  </si>
  <si>
    <t>Krishna Electronics 13</t>
  </si>
  <si>
    <t>Raj Electronics 14</t>
  </si>
  <si>
    <t>Baba Vishwakarma Electronics 15</t>
  </si>
  <si>
    <t>Baba Vishwakarma Electronics 16</t>
  </si>
  <si>
    <t>Suresh Electronics 17</t>
  </si>
  <si>
    <t>Hayaghat</t>
  </si>
  <si>
    <t>Om Electronics 18</t>
  </si>
  <si>
    <t>Keoti</t>
  </si>
  <si>
    <t>Baba Vishwakarma Electronics 19</t>
  </si>
  <si>
    <t>Maa Sita Electronics 20</t>
  </si>
  <si>
    <t>Sai Electronics 21</t>
  </si>
  <si>
    <t>Om Electronics 22</t>
  </si>
  <si>
    <t>Om Electronics 23</t>
  </si>
  <si>
    <t>Suresh Electronics 24</t>
  </si>
  <si>
    <t>Om Electronics 25</t>
  </si>
  <si>
    <t>Ravi Electronics 26</t>
  </si>
  <si>
    <t>Raj Electronics 27</t>
  </si>
  <si>
    <t>Baba Vishwakarma Electronics 28</t>
  </si>
  <si>
    <t>Maa Sita Electronics 29</t>
  </si>
  <si>
    <t>Om Electronics 30</t>
  </si>
  <si>
    <t>Krishna Electronics 31</t>
  </si>
  <si>
    <t>Maa Sita Electronics 32</t>
  </si>
  <si>
    <t>Sai Electronics 33</t>
  </si>
  <si>
    <t>Shivam Electronics 34</t>
  </si>
  <si>
    <t>Maa Sita Electronics 35</t>
  </si>
  <si>
    <t>Baba Vishwakarma Electronics 36</t>
  </si>
  <si>
    <t>Suresh Electronics 37</t>
  </si>
  <si>
    <t>Ganpati Electronics 38</t>
  </si>
  <si>
    <t>Shivam Electronics 39</t>
  </si>
  <si>
    <t>Baba Vishwakarma Electronics 40</t>
  </si>
  <si>
    <t>Ravi Electronics 41</t>
  </si>
  <si>
    <t>Om Electronics 42</t>
  </si>
  <si>
    <t>Ravi Electronics 43</t>
  </si>
  <si>
    <t>Shivam Electronics 44</t>
  </si>
  <si>
    <t>Raj Electronics 45</t>
  </si>
  <si>
    <t>Krishna Electronics 46</t>
  </si>
  <si>
    <t>Shivam Electronics 47</t>
  </si>
  <si>
    <t>Shivam Electronics 48</t>
  </si>
  <si>
    <t>Baba Vishwakarma Electronics 49</t>
  </si>
  <si>
    <t>Sai Electronics 50</t>
  </si>
  <si>
    <t>Ganpati Electronics 51</t>
  </si>
  <si>
    <t>Raj Electronics 52</t>
  </si>
  <si>
    <t>Maa Sita Electronics 53</t>
  </si>
  <si>
    <t>Ganpati Electronics 54</t>
  </si>
  <si>
    <t>Raj Electronics 55</t>
  </si>
  <si>
    <t>Om Electronics 56</t>
  </si>
  <si>
    <t>Maa Sita Electronics 57</t>
  </si>
  <si>
    <t>Sai Electronics 58</t>
  </si>
  <si>
    <t>Om Electronics 59</t>
  </si>
  <si>
    <t>Krishna Electronics 60</t>
  </si>
  <si>
    <t>Krishna Electronics 61</t>
  </si>
  <si>
    <t>Maa Sita Electronics 62</t>
  </si>
  <si>
    <t>Ganpati Electronics 63</t>
  </si>
  <si>
    <t>Shivam Electronics 64</t>
  </si>
  <si>
    <t>Baba Vishwakarma Electronics 65</t>
  </si>
  <si>
    <t>Sai Electronics 66</t>
  </si>
  <si>
    <t>Suresh Electronics 67</t>
  </si>
  <si>
    <t>Baba Vishwakarma Electronics 68</t>
  </si>
  <si>
    <t>Raj Electronics 69</t>
  </si>
  <si>
    <t>Baba Vishwakarma Electronics 70</t>
  </si>
  <si>
    <t>Krishna Electronics 71</t>
  </si>
  <si>
    <t>Om Electronics 72</t>
  </si>
  <si>
    <t>Sai Electronics 73</t>
  </si>
  <si>
    <t>Ganpati Electronics 74</t>
  </si>
  <si>
    <t>Sai Electronics 75</t>
  </si>
  <si>
    <t>Om Electronics 76</t>
  </si>
  <si>
    <t>Maa Sita Electronics 77</t>
  </si>
  <si>
    <t>Krishna Electronics 78</t>
  </si>
  <si>
    <t>Krishna Electronics 79</t>
  </si>
  <si>
    <t>Ravi Electronics 80</t>
  </si>
  <si>
    <t>Krishna Electronics 81</t>
  </si>
  <si>
    <t>Raj Electronics 82</t>
  </si>
  <si>
    <t>Ravi Electronics 83</t>
  </si>
  <si>
    <t>Krishna Electronics 84</t>
  </si>
  <si>
    <t>Baba Vishwakarma Electronics 85</t>
  </si>
  <si>
    <t>Sai Electronics 86</t>
  </si>
  <si>
    <t>Baba Vishwakarma Electronics 87</t>
  </si>
  <si>
    <t>Baba Vishwakarma Electronics 88</t>
  </si>
  <si>
    <t>Maa Sita Electronics 89</t>
  </si>
  <si>
    <t>Raj Electronics 90</t>
  </si>
  <si>
    <t>Ravi Electronics 91</t>
  </si>
  <si>
    <t>Om Electronics 92</t>
  </si>
  <si>
    <t>Maa Sita Electronics 93</t>
  </si>
  <si>
    <t>Om Electronics 94</t>
  </si>
  <si>
    <t>Ravi Electronics 95</t>
  </si>
  <si>
    <t>Om Electronics 96</t>
  </si>
  <si>
    <t>Suresh Electronics 97</t>
  </si>
  <si>
    <t>Raj Electronics 98</t>
  </si>
  <si>
    <t>Suresh Electronics 99</t>
  </si>
  <si>
    <t>Krishna Electronics 100</t>
  </si>
  <si>
    <t>Suresh Electronics 101</t>
  </si>
  <si>
    <t>Suresh Electronics 102</t>
  </si>
  <si>
    <t>Ravi Electronics 103</t>
  </si>
  <si>
    <t>Ganpati Electronics 104</t>
  </si>
  <si>
    <t>Krishna Electronics 105</t>
  </si>
  <si>
    <t>Om Electronics 106</t>
  </si>
  <si>
    <t>Shivam Electronics 107</t>
  </si>
  <si>
    <t>Baba Vishwakarma Electronics 108</t>
  </si>
  <si>
    <t>Raj Electronics 109</t>
  </si>
  <si>
    <t>Krishna Electronics 110</t>
  </si>
  <si>
    <t>Suresh Electronics 111</t>
  </si>
  <si>
    <t>Sai Electronics 112</t>
  </si>
  <si>
    <t>Ganpati Electronics 113</t>
  </si>
  <si>
    <t>Raj Electronics 114</t>
  </si>
  <si>
    <t>Ravi Electronics 115</t>
  </si>
  <si>
    <t>Raj Electronics 116</t>
  </si>
  <si>
    <t>Maa Sita Electronics 117</t>
  </si>
  <si>
    <t>Ganpati Electronics 118</t>
  </si>
  <si>
    <t>Baba Vishwakarma Electronics 119</t>
  </si>
  <si>
    <t>Om Electronics 120</t>
  </si>
  <si>
    <t>Suresh Electronics 121</t>
  </si>
  <si>
    <t>Raj Electronics 122</t>
  </si>
  <si>
    <t>Baba Vishwakarma Electronics 123</t>
  </si>
  <si>
    <t>Suresh Electronics 124</t>
  </si>
  <si>
    <t>Krishna Electronics 125</t>
  </si>
  <si>
    <t>Ganpati Electronics 126</t>
  </si>
  <si>
    <t>Raj Electronics 127</t>
  </si>
  <si>
    <t>Krishna Electronics 128</t>
  </si>
  <si>
    <t>Om Electronics 129</t>
  </si>
  <si>
    <t>Ravi Electronics 130</t>
  </si>
  <si>
    <t>Raj Electronics 131</t>
  </si>
  <si>
    <t>Krishna Electronics 132</t>
  </si>
  <si>
    <t>Maa Sita Electronics 133</t>
  </si>
  <si>
    <t>Sai Electronics 134</t>
  </si>
  <si>
    <t>Sai Electronics 135</t>
  </si>
  <si>
    <t>Raj Electronics 136</t>
  </si>
  <si>
    <t>Sai Electronics 137</t>
  </si>
  <si>
    <t>Ravi Electronics 138</t>
  </si>
  <si>
    <t>Suresh Electronics 139</t>
  </si>
  <si>
    <t>Baba Vishwakarma Electronics 140</t>
  </si>
  <si>
    <t>Maa Sita Electronics 141</t>
  </si>
  <si>
    <t>Om Electronics 142</t>
  </si>
  <si>
    <t>Ravi Electronics 143</t>
  </si>
  <si>
    <t>Sai Electronics 144</t>
  </si>
  <si>
    <t>Krishna Electronics 145</t>
  </si>
  <si>
    <t>Raj Electronics 146</t>
  </si>
  <si>
    <t>Ganpati Electronics 147</t>
  </si>
  <si>
    <t>Sai Electronics 148</t>
  </si>
  <si>
    <t>Ravi Electronics 149</t>
  </si>
  <si>
    <t>Sai Electronics 150</t>
  </si>
  <si>
    <t>Ganpati Electronics 151</t>
  </si>
  <si>
    <t>Ravi Electronics 152</t>
  </si>
  <si>
    <t>Om Electronics 153</t>
  </si>
  <si>
    <t>Ganpati Electronics 154</t>
  </si>
  <si>
    <t>Suresh Electronics 155</t>
  </si>
  <si>
    <t>Raj Electronics 156</t>
  </si>
  <si>
    <t>Krishna Electronics 157</t>
  </si>
  <si>
    <t>Sai Electronics 158</t>
  </si>
  <si>
    <t>Om Electronics 159</t>
  </si>
  <si>
    <t>Maa Sita Electronics 160</t>
  </si>
  <si>
    <t>Suresh Electronics 161</t>
  </si>
  <si>
    <t>Suresh Electronics 162</t>
  </si>
  <si>
    <t>Krishna Electronics 163</t>
  </si>
  <si>
    <t>Krishna Electronics 164</t>
  </si>
  <si>
    <t>Om Electronics 165</t>
  </si>
  <si>
    <t>Raj Electronics 166</t>
  </si>
  <si>
    <t>Baba Vishwakarma Electronics 167</t>
  </si>
  <si>
    <t>Suresh Electronics 168</t>
  </si>
  <si>
    <t>Ravi Electronics 169</t>
  </si>
  <si>
    <t>Maa Sita Electronics 170</t>
  </si>
  <si>
    <t>Suresh Electronics 171</t>
  </si>
  <si>
    <t>Sai Electronics 172</t>
  </si>
  <si>
    <t>Ganpati Electronics 173</t>
  </si>
  <si>
    <t>Baba Vishwakarma Electronics 174</t>
  </si>
  <si>
    <t>Maa Sita Electronics 175</t>
  </si>
  <si>
    <t>Ganpati Electronics 176</t>
  </si>
  <si>
    <t>Ravi Electronics 177</t>
  </si>
  <si>
    <t>Ravi Electronics 178</t>
  </si>
  <si>
    <t>Raj Electronics 179</t>
  </si>
  <si>
    <t>Raj Electronics 180</t>
  </si>
  <si>
    <t>Om Electronics 181</t>
  </si>
  <si>
    <t>Suresh Electronics 182</t>
  </si>
  <si>
    <t>Raj Electronics 183</t>
  </si>
  <si>
    <t>Sai Electronics 184</t>
  </si>
  <si>
    <t>Krishna Electronics 185</t>
  </si>
  <si>
    <t>Baba Vishwakarma Electronics 186</t>
  </si>
  <si>
    <t>Ravi Electronics 187</t>
  </si>
  <si>
    <t>Shivam Electronics 188</t>
  </si>
  <si>
    <t>Ganpati Electronics 189</t>
  </si>
  <si>
    <t>Om Electronics 190</t>
  </si>
  <si>
    <t>Krishna Electronics 191</t>
  </si>
  <si>
    <t>Baba Vishwakarma Electronics 192</t>
  </si>
  <si>
    <t>Shivam Electronics 193</t>
  </si>
  <si>
    <t>Krishna Electronics 194</t>
  </si>
  <si>
    <t>Raj Electronics 195</t>
  </si>
  <si>
    <t>Maa Sita Electronics 196</t>
  </si>
  <si>
    <t>Maa Sita Electronics 197</t>
  </si>
  <si>
    <t>Maa Sita Electronics 198</t>
  </si>
  <si>
    <t>Ganpati Electronics 199</t>
  </si>
  <si>
    <t>Maa Sita Electronics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</si>
</sst>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"/>
    <numFmt numFmtId="165" formatCode="[$₹-445]\ #,##0"/>
    <numFmt numFmtId="166" formatCode="[$-409]d\-mmm\-yy;@"/>
  </numFmts>
  <fonts count="10">
    <font>
      <sz val="10"/>
      <color indexed="8"/>
      <name val="Helvetica Neue"/>
    </font>
    <font>
      <b/>
      <sz val="10"/>
      <color indexed="8"/>
      <name val="Helvetica Neue"/>
    </font>
    <font>
      <sz val="24"/>
      <color indexed="8"/>
      <name val="Helvetica Neue"/>
    </font>
    <font>
      <b/>
      <sz val="24"/>
      <color indexed="8"/>
      <name val="Helvetica Neue"/>
    </font>
    <font>
      <b/>
      <sz val="24"/>
      <color theme="1"/>
      <name val="Helvetica Neue"/>
    </font>
    <font>
      <b/>
      <sz val="24"/>
      <color theme="1" tint="0.14999847407452621"/>
      <name val="Helvetica Neue"/>
    </font>
    <font>
      <sz val="10"/>
      <color indexed="8"/>
      <name val="Helvetica Neue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10"/>
      <color rgb="FFFF0000"/>
      <name val="Helvetica Neue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F7A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6" fillId="0" borderId="0" applyFont="0" applyFill="0" applyBorder="0" applyAlignment="0" applyProtection="0"/>
  </cellStyleXfs>
  <cellXfs count="144">
    <xf numFmtId="0" fontId="0" fillId="0" borderId="0" xfId="0">
      <alignment vertical="top" wrapText="1"/>
    </xf>
    <xf numFmtId="0" fontId="0" fillId="0" borderId="7" xfId="0" applyBorder="1">
      <alignment vertical="top" wrapText="1"/>
    </xf>
    <xf numFmtId="0" fontId="0" fillId="0" borderId="7" xfId="0" pivotButton="1" applyBorder="1">
      <alignment vertical="top" wrapText="1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3" fontId="0" fillId="0" borderId="7" xfId="0" applyNumberFormat="1" applyBorder="1">
      <alignment vertical="top" wrapText="1"/>
    </xf>
    <xf numFmtId="3" fontId="0" fillId="0" borderId="9" xfId="0" applyNumberFormat="1" applyBorder="1">
      <alignment vertical="top" wrapText="1"/>
    </xf>
    <xf numFmtId="3" fontId="0" fillId="0" borderId="0" xfId="0" applyNumberFormat="1">
      <alignment vertical="top" wrapText="1"/>
    </xf>
    <xf numFmtId="0" fontId="0" fillId="0" borderId="0" xfId="0" applyAlignment="1">
      <alignment horizontal="center" vertical="top" wrapText="1"/>
    </xf>
    <xf numFmtId="37" fontId="0" fillId="0" borderId="15" xfId="0" applyNumberFormat="1" applyBorder="1">
      <alignment vertical="top" wrapText="1"/>
    </xf>
    <xf numFmtId="37" fontId="0" fillId="0" borderId="16" xfId="0" applyNumberFormat="1" applyBorder="1">
      <alignment vertical="top" wrapText="1"/>
    </xf>
    <xf numFmtId="37" fontId="0" fillId="0" borderId="0" xfId="0" applyNumberFormat="1">
      <alignment vertical="top" wrapText="1"/>
    </xf>
    <xf numFmtId="0" fontId="1" fillId="0" borderId="9" xfId="0" applyFont="1" applyBorder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 indent="1"/>
    </xf>
    <xf numFmtId="0" fontId="0" fillId="0" borderId="0" xfId="0" applyBorder="1">
      <alignment vertical="top" wrapText="1"/>
    </xf>
    <xf numFmtId="49" fontId="1" fillId="2" borderId="1" xfId="0" applyNumberFormat="1" applyFont="1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0" fontId="0" fillId="0" borderId="0" xfId="0" applyNumberFormat="1" applyBorder="1" applyAlignment="1">
      <alignment horizontal="left" vertical="top"/>
    </xf>
    <xf numFmtId="15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15" fontId="1" fillId="2" borderId="1" xfId="0" applyNumberFormat="1" applyFont="1" applyFill="1" applyBorder="1" applyAlignment="1">
      <alignment horizontal="left" vertical="center" wrapText="1"/>
    </xf>
    <xf numFmtId="15" fontId="0" fillId="0" borderId="5" xfId="0" applyNumberFormat="1" applyBorder="1" applyAlignment="1">
      <alignment horizontal="left" vertical="top"/>
    </xf>
    <xf numFmtId="15" fontId="0" fillId="0" borderId="6" xfId="0" applyNumberFormat="1" applyBorder="1" applyAlignment="1">
      <alignment horizontal="left" vertical="top"/>
    </xf>
    <xf numFmtId="0" fontId="0" fillId="0" borderId="2" xfId="0" applyNumberFormat="1" applyBorder="1" applyAlignment="1">
      <alignment horizontal="left" vertical="top"/>
    </xf>
    <xf numFmtId="15" fontId="0" fillId="0" borderId="0" xfId="0" applyNumberFormat="1" applyBorder="1" applyAlignment="1">
      <alignment horizontal="left" vertical="top"/>
    </xf>
    <xf numFmtId="15" fontId="0" fillId="0" borderId="0" xfId="0" applyNumberFormat="1" applyAlignment="1">
      <alignment horizontal="left" vertical="top"/>
    </xf>
    <xf numFmtId="49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left" vertical="center"/>
    </xf>
    <xf numFmtId="0" fontId="0" fillId="3" borderId="3" xfId="0" applyNumberFormat="1" applyFill="1" applyBorder="1" applyAlignment="1">
      <alignment horizontal="left" vertical="top"/>
    </xf>
    <xf numFmtId="49" fontId="0" fillId="3" borderId="3" xfId="0" applyNumberFormat="1" applyFill="1" applyBorder="1" applyAlignment="1">
      <alignment horizontal="left" vertical="top"/>
    </xf>
    <xf numFmtId="49" fontId="0" fillId="3" borderId="0" xfId="0" applyNumberFormat="1" applyFill="1" applyBorder="1" applyAlignment="1">
      <alignment horizontal="left" vertical="top"/>
    </xf>
    <xf numFmtId="0" fontId="0" fillId="0" borderId="10" xfId="0" applyBorder="1">
      <alignment vertical="top" wrapText="1"/>
    </xf>
    <xf numFmtId="0" fontId="0" fillId="0" borderId="10" xfId="0" applyNumberFormat="1" applyBorder="1">
      <alignment vertical="top" wrapText="1"/>
    </xf>
    <xf numFmtId="0" fontId="0" fillId="0" borderId="12" xfId="0" applyNumberFormat="1" applyBorder="1">
      <alignment vertical="top" wrapText="1"/>
    </xf>
    <xf numFmtId="0" fontId="7" fillId="6" borderId="17" xfId="0" applyFont="1" applyFill="1" applyBorder="1" applyAlignment="1">
      <alignment vertical="top" wrapText="1"/>
    </xf>
    <xf numFmtId="0" fontId="7" fillId="7" borderId="17" xfId="0" applyFont="1" applyFill="1" applyBorder="1" applyAlignment="1">
      <alignment vertical="top" wrapText="1"/>
    </xf>
    <xf numFmtId="0" fontId="8" fillId="0" borderId="17" xfId="0" applyFont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 wrapText="1"/>
    </xf>
    <xf numFmtId="3" fontId="0" fillId="0" borderId="5" xfId="0" applyNumberFormat="1" applyBorder="1" applyAlignment="1">
      <alignment horizontal="left" vertical="top"/>
    </xf>
    <xf numFmtId="3" fontId="0" fillId="0" borderId="0" xfId="0" applyNumberFormat="1" applyBorder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1" fillId="2" borderId="1" xfId="0" applyNumberFormat="1" applyFont="1" applyFill="1" applyBorder="1" applyAlignment="1">
      <alignment horizontal="left" vertical="center"/>
    </xf>
    <xf numFmtId="3" fontId="0" fillId="0" borderId="6" xfId="0" applyNumberForma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8" borderId="0" xfId="0" applyFill="1">
      <alignment vertical="top" wrapText="1"/>
    </xf>
    <xf numFmtId="0" fontId="0" fillId="8" borderId="0" xfId="0" applyFill="1" applyAlignment="1">
      <alignment horizontal="left" vertical="top" wrapText="1"/>
    </xf>
    <xf numFmtId="3" fontId="0" fillId="8" borderId="0" xfId="0" applyNumberFormat="1" applyFill="1">
      <alignment vertical="top" wrapText="1"/>
    </xf>
    <xf numFmtId="0" fontId="9" fillId="8" borderId="0" xfId="0" applyFont="1" applyFill="1">
      <alignment vertical="top" wrapText="1"/>
    </xf>
    <xf numFmtId="0" fontId="0" fillId="8" borderId="0" xfId="0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1" fillId="8" borderId="7" xfId="0" applyNumberFormat="1" applyFont="1" applyFill="1" applyBorder="1" applyAlignment="1">
      <alignment horizontal="center" vertical="center" wrapText="1"/>
    </xf>
    <xf numFmtId="3" fontId="1" fillId="8" borderId="10" xfId="0" applyNumberFormat="1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3" fontId="0" fillId="8" borderId="7" xfId="0" applyNumberFormat="1" applyFill="1" applyBorder="1" applyAlignment="1">
      <alignment horizontal="center" vertical="center" wrapText="1"/>
    </xf>
    <xf numFmtId="3" fontId="0" fillId="8" borderId="10" xfId="0" applyNumberForma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3" fontId="0" fillId="8" borderId="8" xfId="0" applyNumberFormat="1" applyFill="1" applyBorder="1" applyAlignment="1">
      <alignment horizontal="center" vertical="center" wrapText="1"/>
    </xf>
    <xf numFmtId="3" fontId="0" fillId="8" borderId="11" xfId="0" applyNumberForma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3" fontId="1" fillId="8" borderId="9" xfId="0" applyNumberFormat="1" applyFont="1" applyFill="1" applyBorder="1" applyAlignment="1">
      <alignment horizontal="center" vertical="center" wrapText="1"/>
    </xf>
    <xf numFmtId="3" fontId="1" fillId="8" borderId="12" xfId="0" applyNumberFormat="1" applyFont="1" applyFill="1" applyBorder="1" applyAlignment="1">
      <alignment horizontal="center" vertical="center" wrapText="1"/>
    </xf>
    <xf numFmtId="0" fontId="0" fillId="0" borderId="7" xfId="0" pivotButton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3" fontId="1" fillId="0" borderId="13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3" fontId="0" fillId="0" borderId="7" xfId="0" applyNumberFormat="1" applyBorder="1" applyAlignment="1">
      <alignment horizontal="right" vertical="top" wrapText="1"/>
    </xf>
    <xf numFmtId="3" fontId="0" fillId="0" borderId="13" xfId="0" applyNumberFormat="1" applyBorder="1" applyAlignment="1">
      <alignment horizontal="right" vertical="top" wrapText="1"/>
    </xf>
    <xf numFmtId="3" fontId="0" fillId="0" borderId="10" xfId="0" applyNumberFormat="1" applyBorder="1" applyAlignment="1">
      <alignment horizontal="right" vertical="top" wrapText="1"/>
    </xf>
    <xf numFmtId="3" fontId="0" fillId="0" borderId="8" xfId="0" applyNumberFormat="1" applyBorder="1" applyAlignment="1">
      <alignment horizontal="right" vertical="top" wrapText="1"/>
    </xf>
    <xf numFmtId="3" fontId="0" fillId="0" borderId="0" xfId="0" applyNumberFormat="1" applyAlignment="1">
      <alignment horizontal="right" vertical="top" wrapText="1"/>
    </xf>
    <xf numFmtId="3" fontId="0" fillId="0" borderId="11" xfId="0" applyNumberFormat="1" applyBorder="1" applyAlignment="1">
      <alignment horizontal="right" vertical="top" wrapText="1"/>
    </xf>
    <xf numFmtId="3" fontId="0" fillId="0" borderId="9" xfId="0" applyNumberFormat="1" applyBorder="1" applyAlignment="1">
      <alignment horizontal="right" vertical="top" wrapText="1"/>
    </xf>
    <xf numFmtId="3" fontId="0" fillId="0" borderId="14" xfId="0" applyNumberFormat="1" applyBorder="1" applyAlignment="1">
      <alignment horizontal="right" vertical="top" wrapText="1"/>
    </xf>
    <xf numFmtId="3" fontId="0" fillId="0" borderId="12" xfId="0" applyNumberFormat="1" applyBorder="1" applyAlignment="1">
      <alignment horizontal="right" vertical="top" wrapText="1"/>
    </xf>
    <xf numFmtId="0" fontId="1" fillId="0" borderId="7" xfId="0" pivotButton="1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NumberForma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37" fontId="0" fillId="0" borderId="18" xfId="0" applyNumberFormat="1" applyBorder="1">
      <alignment vertical="top" wrapText="1"/>
    </xf>
    <xf numFmtId="166" fontId="7" fillId="6" borderId="17" xfId="0" applyNumberFormat="1" applyFont="1" applyFill="1" applyBorder="1" applyAlignment="1">
      <alignment vertical="top" wrapText="1"/>
    </xf>
    <xf numFmtId="166" fontId="8" fillId="0" borderId="17" xfId="0" applyNumberFormat="1" applyFont="1" applyBorder="1" applyAlignment="1">
      <alignment vertical="top" wrapText="1"/>
    </xf>
    <xf numFmtId="166" fontId="0" fillId="0" borderId="0" xfId="0" applyNumberFormat="1">
      <alignment vertical="top" wrapText="1"/>
    </xf>
    <xf numFmtId="3" fontId="0" fillId="0" borderId="8" xfId="0" applyNumberFormat="1" applyBorder="1">
      <alignment vertical="top" wrapText="1"/>
    </xf>
    <xf numFmtId="0" fontId="0" fillId="0" borderId="11" xfId="0" applyNumberFormat="1" applyBorder="1">
      <alignment vertical="top" wrapText="1"/>
    </xf>
    <xf numFmtId="3" fontId="0" fillId="0" borderId="2" xfId="0" applyNumberForma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0" fillId="0" borderId="16" xfId="0" pivotButton="1" applyBorder="1">
      <alignment vertical="top" wrapText="1"/>
    </xf>
    <xf numFmtId="166" fontId="0" fillId="0" borderId="10" xfId="0" applyNumberFormat="1" applyBorder="1">
      <alignment vertical="top" wrapText="1"/>
    </xf>
    <xf numFmtId="166" fontId="0" fillId="0" borderId="11" xfId="0" applyNumberFormat="1" applyBorder="1">
      <alignment vertical="top" wrapText="1"/>
    </xf>
    <xf numFmtId="166" fontId="0" fillId="0" borderId="12" xfId="0" applyNumberFormat="1" applyBorder="1">
      <alignment vertical="top" wrapText="1"/>
    </xf>
    <xf numFmtId="3" fontId="0" fillId="0" borderId="16" xfId="0" applyNumberFormat="1" applyBorder="1">
      <alignment vertical="top" wrapText="1"/>
    </xf>
    <xf numFmtId="1" fontId="1" fillId="2" borderId="0" xfId="0" applyNumberFormat="1" applyFont="1" applyFill="1" applyBorder="1" applyAlignment="1">
      <alignment horizontal="left" vertical="center" wrapText="1"/>
    </xf>
    <xf numFmtId="1" fontId="0" fillId="0" borderId="0" xfId="0" applyNumberFormat="1" applyBorder="1" applyAlignment="1">
      <alignment horizontal="left" vertical="center"/>
    </xf>
    <xf numFmtId="1" fontId="0" fillId="0" borderId="0" xfId="0" applyNumberFormat="1" applyBorder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0" fontId="0" fillId="0" borderId="7" xfId="0" pivotButton="1" applyBorder="1" applyAlignment="1">
      <alignment horizontal="left" vertical="top" wrapText="1"/>
    </xf>
    <xf numFmtId="3" fontId="0" fillId="0" borderId="7" xfId="0" applyNumberFormat="1" applyBorder="1" applyAlignment="1">
      <alignment horizontal="left" vertical="top" wrapText="1"/>
    </xf>
    <xf numFmtId="166" fontId="0" fillId="0" borderId="10" xfId="0" applyNumberFormat="1" applyBorder="1" applyAlignment="1">
      <alignment horizontal="left" vertical="top" wrapText="1"/>
    </xf>
    <xf numFmtId="0" fontId="0" fillId="0" borderId="16" xfId="0" applyNumberFormat="1" applyBorder="1">
      <alignment vertical="top" wrapText="1"/>
    </xf>
    <xf numFmtId="0" fontId="0" fillId="0" borderId="15" xfId="0" applyNumberFormat="1" applyBorder="1">
      <alignment vertical="top" wrapText="1"/>
    </xf>
    <xf numFmtId="0" fontId="0" fillId="0" borderId="19" xfId="0" applyBorder="1">
      <alignment vertical="top" wrapText="1"/>
    </xf>
    <xf numFmtId="0" fontId="1" fillId="0" borderId="7" xfId="0" pivotButton="1" applyFont="1" applyBorder="1">
      <alignment vertical="top" wrapText="1"/>
    </xf>
    <xf numFmtId="0" fontId="1" fillId="0" borderId="15" xfId="0" applyFont="1" applyBorder="1">
      <alignment vertical="top" wrapText="1"/>
    </xf>
    <xf numFmtId="0" fontId="1" fillId="0" borderId="0" xfId="0" applyFont="1">
      <alignment vertical="top" wrapText="1"/>
    </xf>
    <xf numFmtId="0" fontId="3" fillId="11" borderId="21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left" vertical="top"/>
    </xf>
    <xf numFmtId="9" fontId="3" fillId="5" borderId="0" xfId="1" applyFont="1" applyFill="1" applyAlignment="1">
      <alignment horizontal="center" vertical="center" wrapText="1"/>
    </xf>
    <xf numFmtId="165" fontId="3" fillId="10" borderId="20" xfId="0" applyNumberFormat="1" applyFont="1" applyFill="1" applyBorder="1" applyAlignment="1">
      <alignment horizontal="center" vertical="center" wrapText="1"/>
    </xf>
    <xf numFmtId="165" fontId="3" fillId="10" borderId="0" xfId="0" applyNumberFormat="1" applyFont="1" applyFill="1" applyBorder="1" applyAlignment="1">
      <alignment horizontal="center" vertical="center" wrapText="1"/>
    </xf>
    <xf numFmtId="165" fontId="3" fillId="4" borderId="20" xfId="0" applyNumberFormat="1" applyFont="1" applyFill="1" applyBorder="1" applyAlignment="1">
      <alignment horizontal="center" vertical="center" wrapText="1" indent="1"/>
    </xf>
    <xf numFmtId="165" fontId="3" fillId="4" borderId="0" xfId="0" applyNumberFormat="1" applyFont="1" applyFill="1" applyBorder="1" applyAlignment="1">
      <alignment horizontal="center" vertical="center" wrapText="1" indent="1"/>
    </xf>
    <xf numFmtId="164" fontId="5" fillId="9" borderId="20" xfId="0" applyNumberFormat="1" applyFont="1" applyFill="1" applyBorder="1" applyAlignment="1">
      <alignment horizontal="center" vertical="center" wrapText="1"/>
    </xf>
    <xf numFmtId="164" fontId="5" fillId="9" borderId="0" xfId="0" applyNumberFormat="1" applyFont="1" applyFill="1" applyBorder="1" applyAlignment="1">
      <alignment horizontal="center" vertical="center" wrapText="1"/>
    </xf>
    <xf numFmtId="0" fontId="4" fillId="12" borderId="20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9" fontId="3" fillId="11" borderId="20" xfId="1" applyFont="1" applyFill="1" applyBorder="1" applyAlignment="1">
      <alignment horizontal="center" vertical="center" wrapText="1"/>
    </xf>
    <xf numFmtId="9" fontId="3" fillId="11" borderId="0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18">
    <dxf>
      <numFmt numFmtId="0" formatCode="General"/>
      <alignment horizontal="left" vertical="top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10"/>
        </bottom>
      </border>
    </dxf>
    <dxf>
      <numFmt numFmtId="20" formatCode="d\-mmm\-yy"/>
      <alignment horizontal="left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 style="thin">
          <color indexed="10"/>
        </bottom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/>
        <bottom style="thin">
          <color indexed="10"/>
        </bottom>
        <vertical/>
        <horizontal/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20" formatCode="d\-mmm\-yy"/>
      <alignment horizontal="left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" formatCode="#,##0"/>
      <alignment horizontal="left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alignment horizontal="left" vertical="top" textRotation="0" wrapText="0" indent="0" justifyLastLine="0" shrinkToFit="0" readingOrder="0"/>
      <border diagonalUp="0" diagonalDown="0" outline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</border>
    </dxf>
    <dxf>
      <alignment horizontal="left" vertical="top" textRotation="0" wrapText="0" indent="0" justifyLastLine="0" shrinkToFit="0" readingOrder="0"/>
    </dxf>
    <dxf>
      <alignment horizontal="left" textRotation="0" indent="0" justifyLastLine="0" shrinkToFit="0" readingOrder="0"/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numFmt numFmtId="166" formatCode="[$-409]d\-mmm\-yy;@"/>
    </dxf>
    <dxf>
      <numFmt numFmtId="166" formatCode="[$-409]d\-mmm\-yy;@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right"/>
    </dxf>
    <dxf>
      <alignment horizontal="right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left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left"/>
    </dxf>
    <dxf>
      <alignment horizontal="left"/>
    </dxf>
    <dxf>
      <alignment horizontal="left"/>
    </dxf>
    <dxf>
      <alignment horizontal="center"/>
    </dxf>
    <dxf>
      <font>
        <b/>
      </font>
    </dxf>
    <dxf>
      <font>
        <b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right"/>
    </dxf>
    <dxf>
      <alignment horizontal="right"/>
    </dxf>
    <dxf>
      <alignment horizontal="center"/>
    </dxf>
    <dxf>
      <alignment horizontal="right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5" formatCode="#,##0_);\(#,##0\)"/>
    </dxf>
    <dxf>
      <numFmt numFmtId="5" formatCode="#,##0_);\(#,##0\)"/>
    </dxf>
    <dxf>
      <font>
        <b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righ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F7A8"/>
      <color rgb="FF8A8A65"/>
      <color rgb="FFF25555"/>
      <color rgb="FFF7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2.xlsx]Team Summary!PivotTable2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Summary'!$C$1</c:f>
              <c:strCache>
                <c:ptCount val="1"/>
                <c:pt idx="0">
                  <c:v>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Summary'!$B$2:$B$10</c:f>
              <c:strCache>
                <c:ptCount val="8"/>
                <c:pt idx="0">
                  <c:v>Tiwari Jee</c:v>
                </c:pt>
                <c:pt idx="1">
                  <c:v>Barun Thakur</c:v>
                </c:pt>
                <c:pt idx="2">
                  <c:v>Chandan</c:v>
                </c:pt>
                <c:pt idx="3">
                  <c:v>Vijay Jha</c:v>
                </c:pt>
                <c:pt idx="4">
                  <c:v>Gagloo Mishra</c:v>
                </c:pt>
                <c:pt idx="5">
                  <c:v>Gandhi Jee</c:v>
                </c:pt>
                <c:pt idx="6">
                  <c:v>Vivek</c:v>
                </c:pt>
                <c:pt idx="7">
                  <c:v>Ajay</c:v>
                </c:pt>
              </c:strCache>
            </c:strRef>
          </c:cat>
          <c:val>
            <c:numRef>
              <c:f>'Team Summary'!$C$2:$C$10</c:f>
              <c:numCache>
                <c:formatCode>#,##0</c:formatCode>
                <c:ptCount val="8"/>
                <c:pt idx="0">
                  <c:v>43191890</c:v>
                </c:pt>
                <c:pt idx="1">
                  <c:v>35371350</c:v>
                </c:pt>
                <c:pt idx="2">
                  <c:v>21149440</c:v>
                </c:pt>
                <c:pt idx="3">
                  <c:v>20730110</c:v>
                </c:pt>
                <c:pt idx="4">
                  <c:v>13465480</c:v>
                </c:pt>
                <c:pt idx="5">
                  <c:v>19515400</c:v>
                </c:pt>
                <c:pt idx="6">
                  <c:v>25135740</c:v>
                </c:pt>
                <c:pt idx="7">
                  <c:v>17299000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B5-417F-942F-FB98621A5E60}"/>
            </c:ext>
          </c:extLst>
        </c:ser>
        <c:ser>
          <c:idx val="1"/>
          <c:order val="1"/>
          <c:tx>
            <c:strRef>
              <c:f>'Team Summary'!$D$1</c:f>
              <c:strCache>
                <c:ptCount val="1"/>
                <c:pt idx="0">
                  <c:v> Total 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'Team Summary'!$B$2:$B$10</c:f>
              <c:strCache>
                <c:ptCount val="8"/>
                <c:pt idx="0">
                  <c:v>Tiwari Jee</c:v>
                </c:pt>
                <c:pt idx="1">
                  <c:v>Barun Thakur</c:v>
                </c:pt>
                <c:pt idx="2">
                  <c:v>Chandan</c:v>
                </c:pt>
                <c:pt idx="3">
                  <c:v>Vijay Jha</c:v>
                </c:pt>
                <c:pt idx="4">
                  <c:v>Gagloo Mishra</c:v>
                </c:pt>
                <c:pt idx="5">
                  <c:v>Gandhi Jee</c:v>
                </c:pt>
                <c:pt idx="6">
                  <c:v>Vivek</c:v>
                </c:pt>
                <c:pt idx="7">
                  <c:v>Ajay</c:v>
                </c:pt>
              </c:strCache>
            </c:strRef>
          </c:cat>
          <c:val>
            <c:numRef>
              <c:f>'Team Summary'!$D$2:$D$10</c:f>
              <c:numCache>
                <c:formatCode>#,##0</c:formatCode>
                <c:ptCount val="8"/>
                <c:pt idx="0">
                  <c:v>37691990</c:v>
                </c:pt>
                <c:pt idx="1">
                  <c:v>30934920</c:v>
                </c:pt>
                <c:pt idx="2">
                  <c:v>17615120</c:v>
                </c:pt>
                <c:pt idx="3">
                  <c:v>17405340</c:v>
                </c:pt>
                <c:pt idx="4">
                  <c:v>10349110</c:v>
                </c:pt>
                <c:pt idx="5">
                  <c:v>16704300</c:v>
                </c:pt>
                <c:pt idx="6">
                  <c:v>22362390</c:v>
                </c:pt>
                <c:pt idx="7">
                  <c:v>15480170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B5-417F-942F-FB98621A5E60}"/>
            </c:ext>
          </c:extLst>
        </c:ser>
        <c:ser>
          <c:idx val="2"/>
          <c:order val="2"/>
          <c:tx>
            <c:strRef>
              <c:f>'Team Summary'!$E$1</c:f>
              <c:strCache>
                <c:ptCount val="1"/>
                <c:pt idx="0">
                  <c:v>Total Due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'Team Summary'!$B$2:$B$10</c:f>
              <c:strCache>
                <c:ptCount val="8"/>
                <c:pt idx="0">
                  <c:v>Tiwari Jee</c:v>
                </c:pt>
                <c:pt idx="1">
                  <c:v>Barun Thakur</c:v>
                </c:pt>
                <c:pt idx="2">
                  <c:v>Chandan</c:v>
                </c:pt>
                <c:pt idx="3">
                  <c:v>Vijay Jha</c:v>
                </c:pt>
                <c:pt idx="4">
                  <c:v>Gagloo Mishra</c:v>
                </c:pt>
                <c:pt idx="5">
                  <c:v>Gandhi Jee</c:v>
                </c:pt>
                <c:pt idx="6">
                  <c:v>Vivek</c:v>
                </c:pt>
                <c:pt idx="7">
                  <c:v>Ajay</c:v>
                </c:pt>
              </c:strCache>
            </c:strRef>
          </c:cat>
          <c:val>
            <c:numRef>
              <c:f>'Team Summary'!$E$2:$E$10</c:f>
              <c:numCache>
                <c:formatCode>#,##0</c:formatCode>
                <c:ptCount val="8"/>
                <c:pt idx="0">
                  <c:v>5499900</c:v>
                </c:pt>
                <c:pt idx="1">
                  <c:v>4436430</c:v>
                </c:pt>
                <c:pt idx="2">
                  <c:v>3534320</c:v>
                </c:pt>
                <c:pt idx="3">
                  <c:v>3324770</c:v>
                </c:pt>
                <c:pt idx="4">
                  <c:v>3116370</c:v>
                </c:pt>
                <c:pt idx="5">
                  <c:v>2811100</c:v>
                </c:pt>
                <c:pt idx="6">
                  <c:v>2773350</c:v>
                </c:pt>
                <c:pt idx="7">
                  <c:v>1818830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B5-417F-942F-FB98621A5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794824"/>
        <c:axId val="925796872"/>
      </c:barChart>
      <c:catAx>
        <c:axId val="92579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96872"/>
        <c:crosses val="autoZero"/>
        <c:auto val="1"/>
        <c:lblAlgn val="ctr"/>
        <c:lblOffset val="100"/>
        <c:noMultiLvlLbl val="0"/>
      </c:catAx>
      <c:valAx>
        <c:axId val="9257968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2579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2.xlsx]ACTIVE!PivotTable4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RECENCY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ACTIVE!$C$1</c:f>
              <c:strCache>
                <c:ptCount val="1"/>
                <c:pt idx="0">
                  <c:v>Total Client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CA-4262-8293-6810537259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CA-4262-8293-6810537259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CA-4262-8293-6810537259D3}"/>
              </c:ext>
            </c:extLst>
          </c:dPt>
          <c:cat>
            <c:strRef>
              <c:f>ACTIVE!$B$2:$B$5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Moderate</c:v>
                </c:pt>
              </c:strCache>
            </c:strRef>
          </c:cat>
          <c:val>
            <c:numRef>
              <c:f>ACTIVE!$C$2:$C$5</c:f>
              <c:numCache>
                <c:formatCode>General</c:formatCode>
                <c:ptCount val="3"/>
                <c:pt idx="0">
                  <c:v>110</c:v>
                </c:pt>
                <c:pt idx="1">
                  <c:v>17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2-4C7A-8F97-CB40E1755EAE}"/>
            </c:ext>
          </c:extLst>
        </c:ser>
        <c:ser>
          <c:idx val="1"/>
          <c:order val="1"/>
          <c:tx>
            <c:strRef>
              <c:f>ACTIVE!$D$1</c:f>
              <c:strCache>
                <c:ptCount val="1"/>
                <c:pt idx="0">
                  <c:v>Total 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CA-4262-8293-6810537259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CA-4262-8293-6810537259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CA-4262-8293-6810537259D3}"/>
              </c:ext>
            </c:extLst>
          </c:dPt>
          <c:cat>
            <c:strRef>
              <c:f>ACTIVE!$B$2:$B$5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Moderate</c:v>
                </c:pt>
              </c:strCache>
            </c:strRef>
          </c:cat>
          <c:val>
            <c:numRef>
              <c:f>ACTIVE!$D$2:$D$5</c:f>
              <c:numCache>
                <c:formatCode>#,##0</c:formatCode>
                <c:ptCount val="3"/>
                <c:pt idx="0">
                  <c:v>15493040</c:v>
                </c:pt>
                <c:pt idx="1">
                  <c:v>2505210</c:v>
                </c:pt>
                <c:pt idx="2">
                  <c:v>9316820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2-4C7A-8F97-CB40E1755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2.xlsx]CREDIT RISK!PivotTable3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'CREDIT RISK'!$C$5</c:f>
              <c:strCache>
                <c:ptCount val="1"/>
                <c:pt idx="0">
                  <c:v>Sum of Total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RISK'!$B$6:$B$11</c:f>
              <c:strCache>
                <c:ptCount val="5"/>
                <c:pt idx="0">
                  <c:v>Critical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'CREDIT RISK'!$C$6:$C$11</c:f>
              <c:numCache>
                <c:formatCode>#,##0</c:formatCode>
                <c:ptCount val="5"/>
                <c:pt idx="0">
                  <c:v>31099930</c:v>
                </c:pt>
                <c:pt idx="1">
                  <c:v>8163800</c:v>
                </c:pt>
                <c:pt idx="2">
                  <c:v>28144580</c:v>
                </c:pt>
                <c:pt idx="3">
                  <c:v>65377610</c:v>
                </c:pt>
                <c:pt idx="4">
                  <c:v>63072490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5-4AE9-9538-3AEC82216177}"/>
            </c:ext>
          </c:extLst>
        </c:ser>
        <c:ser>
          <c:idx val="1"/>
          <c:order val="1"/>
          <c:tx>
            <c:strRef>
              <c:f>'CREDIT RISK'!$D$5</c:f>
              <c:strCache>
                <c:ptCount val="1"/>
                <c:pt idx="0">
                  <c:v>Sum of DUE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'CREDIT RISK'!$B$6:$B$11</c:f>
              <c:strCache>
                <c:ptCount val="5"/>
                <c:pt idx="0">
                  <c:v>Critical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'CREDIT RISK'!$D$6:$D$11</c:f>
              <c:numCache>
                <c:formatCode>General</c:formatCode>
                <c:ptCount val="5"/>
                <c:pt idx="0">
                  <c:v>8068620</c:v>
                </c:pt>
                <c:pt idx="1">
                  <c:v>721410</c:v>
                </c:pt>
                <c:pt idx="2">
                  <c:v>2530400</c:v>
                </c:pt>
                <c:pt idx="3">
                  <c:v>5402960</c:v>
                </c:pt>
                <c:pt idx="4">
                  <c:v>10591680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5-4AE9-9538-3AEC82216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5930759"/>
        <c:axId val="1145942023"/>
      </c:barChart>
      <c:catAx>
        <c:axId val="1145930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42023"/>
        <c:crosses val="autoZero"/>
        <c:auto val="1"/>
        <c:lblAlgn val="ctr"/>
        <c:lblOffset val="100"/>
        <c:noMultiLvlLbl val="0"/>
      </c:catAx>
      <c:valAx>
        <c:axId val="1145942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30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2.xlsx]TOP 10 BY DUE!PivotTable1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BY DUE'!$C$7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BY DUE'!$B$8:$B$16</c:f>
              <c:strCache>
                <c:ptCount val="8"/>
                <c:pt idx="0">
                  <c:v>Vivek</c:v>
                </c:pt>
                <c:pt idx="1">
                  <c:v>Vijay Jha</c:v>
                </c:pt>
                <c:pt idx="2">
                  <c:v>Tiwari Jee</c:v>
                </c:pt>
                <c:pt idx="3">
                  <c:v>Gandhi Jee</c:v>
                </c:pt>
                <c:pt idx="4">
                  <c:v>Gagloo Mishra</c:v>
                </c:pt>
                <c:pt idx="5">
                  <c:v>Chandan</c:v>
                </c:pt>
                <c:pt idx="6">
                  <c:v>Barun Thakur</c:v>
                </c:pt>
                <c:pt idx="7">
                  <c:v>Ajay</c:v>
                </c:pt>
              </c:strCache>
            </c:strRef>
          </c:cat>
          <c:val>
            <c:numRef>
              <c:f>'TOP 10 BY DUE'!$C$8:$C$16</c:f>
              <c:numCache>
                <c:formatCode>#,##0_);\(#,##0\)</c:formatCode>
                <c:ptCount val="8"/>
                <c:pt idx="0">
                  <c:v>2773350</c:v>
                </c:pt>
                <c:pt idx="1">
                  <c:v>3324770</c:v>
                </c:pt>
                <c:pt idx="2">
                  <c:v>5499900</c:v>
                </c:pt>
                <c:pt idx="3">
                  <c:v>2811100</c:v>
                </c:pt>
                <c:pt idx="4">
                  <c:v>3116370</c:v>
                </c:pt>
                <c:pt idx="5">
                  <c:v>3534320</c:v>
                </c:pt>
                <c:pt idx="6">
                  <c:v>4436430</c:v>
                </c:pt>
                <c:pt idx="7">
                  <c:v>1818830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5-4A8F-9C02-607A163F2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82600"/>
        <c:axId val="63975944"/>
      </c:barChart>
      <c:catAx>
        <c:axId val="639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75944"/>
        <c:crosses val="autoZero"/>
        <c:auto val="1"/>
        <c:lblAlgn val="ctr"/>
        <c:lblOffset val="100"/>
        <c:noMultiLvlLbl val="0"/>
      </c:catAx>
      <c:valAx>
        <c:axId val="6397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2.xlsx]MONTHLY SALE VS COLLECTION!PivotTable7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vs Collection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644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0E8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 VS COLLECTION'!$C$1</c:f>
              <c:strCache>
                <c:ptCount val="1"/>
                <c:pt idx="0">
                  <c:v>SALE</c:v>
                </c:pt>
              </c:strCache>
            </c:strRef>
          </c:tx>
          <c:spPr>
            <a:solidFill>
              <a:srgbClr val="FF644E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'MONTHLY SALE VS COLLECTION'!$B$2:$B$5</c:f>
              <c:strCache>
                <c:ptCount val="3"/>
                <c:pt idx="0">
                  <c:v>Jan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'MONTHLY SALE VS COLLECTION'!$C$2:$C$5</c:f>
              <c:numCache>
                <c:formatCode>#,##0</c:formatCode>
                <c:ptCount val="3"/>
                <c:pt idx="0">
                  <c:v>78301520</c:v>
                </c:pt>
                <c:pt idx="1">
                  <c:v>44197980</c:v>
                </c:pt>
                <c:pt idx="2">
                  <c:v>73358910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5-40B4-A059-1CD85E437BCC}"/>
            </c:ext>
          </c:extLst>
        </c:ser>
        <c:ser>
          <c:idx val="1"/>
          <c:order val="1"/>
          <c:tx>
            <c:strRef>
              <c:f>'MONTHLY SALE VS COLLECTION'!$D$1</c:f>
              <c:strCache>
                <c:ptCount val="1"/>
                <c:pt idx="0">
                  <c:v>Collection</c:v>
                </c:pt>
              </c:strCache>
            </c:strRef>
          </c:tx>
          <c:spPr>
            <a:solidFill>
              <a:srgbClr val="A0E886"/>
            </a:solidFill>
            <a:ln>
              <a:noFill/>
            </a:ln>
            <a:effectLst/>
          </c:spPr>
          <c:invertIfNegative val="0"/>
          <c:cat>
            <c:strRef>
              <c:f>'MONTHLY SALE VS COLLECTION'!$B$2:$B$5</c:f>
              <c:strCache>
                <c:ptCount val="3"/>
                <c:pt idx="0">
                  <c:v>Jan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'MONTHLY SALE VS COLLECTION'!$D$2:$D$5</c:f>
              <c:numCache>
                <c:formatCode>#,##0</c:formatCode>
                <c:ptCount val="3"/>
                <c:pt idx="0">
                  <c:v>65693800</c:v>
                </c:pt>
                <c:pt idx="1">
                  <c:v>39348090</c:v>
                </c:pt>
                <c:pt idx="2">
                  <c:v>63501450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5-40B4-A059-1CD85E437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-27"/>
        <c:axId val="1249249799"/>
        <c:axId val="1249251847"/>
      </c:barChart>
      <c:catAx>
        <c:axId val="124924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1847"/>
        <c:crosses val="autoZero"/>
        <c:auto val="1"/>
        <c:lblAlgn val="ctr"/>
        <c:lblOffset val="100"/>
        <c:noMultiLvlLbl val="0"/>
      </c:catAx>
      <c:valAx>
        <c:axId val="124925184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4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2.xlsx]Top 20 Dues!PivotTable1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 Debtor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20 Dues'!$D$4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'Top 20 Dues'!$B$5:$C$25</c:f>
              <c:multiLvlStrCache>
                <c:ptCount val="20"/>
                <c:lvl>
                  <c:pt idx="0">
                    <c:v>Barun Thakur</c:v>
                  </c:pt>
                  <c:pt idx="1">
                    <c:v>Vijay Jha</c:v>
                  </c:pt>
                  <c:pt idx="2">
                    <c:v>Gandhi Jee</c:v>
                  </c:pt>
                  <c:pt idx="3">
                    <c:v>Tiwari Jee</c:v>
                  </c:pt>
                  <c:pt idx="4">
                    <c:v>Gagloo Mishra</c:v>
                  </c:pt>
                  <c:pt idx="5">
                    <c:v>Barun Thakur</c:v>
                  </c:pt>
                  <c:pt idx="6">
                    <c:v>Tiwari Jee</c:v>
                  </c:pt>
                  <c:pt idx="7">
                    <c:v>Vivek</c:v>
                  </c:pt>
                  <c:pt idx="8">
                    <c:v>Ajay</c:v>
                  </c:pt>
                  <c:pt idx="9">
                    <c:v>Gagloo Mishra</c:v>
                  </c:pt>
                  <c:pt idx="10">
                    <c:v>Gandhi Jee</c:v>
                  </c:pt>
                  <c:pt idx="11">
                    <c:v>Vijay Jha</c:v>
                  </c:pt>
                  <c:pt idx="12">
                    <c:v>Tiwari Jee</c:v>
                  </c:pt>
                  <c:pt idx="13">
                    <c:v>Tiwari Jee</c:v>
                  </c:pt>
                  <c:pt idx="14">
                    <c:v>Gandhi Jee</c:v>
                  </c:pt>
                  <c:pt idx="15">
                    <c:v>Barun Thakur</c:v>
                  </c:pt>
                  <c:pt idx="16">
                    <c:v>Vijay Jha</c:v>
                  </c:pt>
                  <c:pt idx="17">
                    <c:v>Gagloo Mishra</c:v>
                  </c:pt>
                  <c:pt idx="18">
                    <c:v>Tiwari Jee</c:v>
                  </c:pt>
                  <c:pt idx="19">
                    <c:v>Chandan</c:v>
                  </c:pt>
                </c:lvl>
                <c:lvl>
                  <c:pt idx="0">
                    <c:v>Hind Refrigeration</c:v>
                  </c:pt>
                  <c:pt idx="1">
                    <c:v>City Mobile</c:v>
                  </c:pt>
                  <c:pt idx="2">
                    <c:v>Rakesh Gallery</c:v>
                  </c:pt>
                  <c:pt idx="3">
                    <c:v>Keshav Watch</c:v>
                  </c:pt>
                  <c:pt idx="4">
                    <c:v>Shyam Mobile</c:v>
                  </c:pt>
                  <c:pt idx="5">
                    <c:v>Krishna Connect</c:v>
                  </c:pt>
                  <c:pt idx="6">
                    <c:v>Vikash Point</c:v>
                  </c:pt>
                  <c:pt idx="7">
                    <c:v>Priya Yadav Centre</c:v>
                  </c:pt>
                  <c:pt idx="8">
                    <c:v>Suresh Store</c:v>
                  </c:pt>
                  <c:pt idx="9">
                    <c:v>Nand Care</c:v>
                  </c:pt>
                  <c:pt idx="10">
                    <c:v>Jai Enterprises World</c:v>
                  </c:pt>
                  <c:pt idx="11">
                    <c:v>Kanak Brothers Traders</c:v>
                  </c:pt>
                  <c:pt idx="12">
                    <c:v>Om Electronics</c:v>
                  </c:pt>
                  <c:pt idx="13">
                    <c:v>Nand Choudhary Watch</c:v>
                  </c:pt>
                  <c:pt idx="14">
                    <c:v>Sanjeev Ji Store</c:v>
                  </c:pt>
                  <c:pt idx="15">
                    <c:v>Deepak Gupta Sales</c:v>
                  </c:pt>
                  <c:pt idx="16">
                    <c:v>Mahesh Shop</c:v>
                  </c:pt>
                  <c:pt idx="17">
                    <c:v>Saraswati Gallery</c:v>
                  </c:pt>
                  <c:pt idx="18">
                    <c:v>Jai Care</c:v>
                  </c:pt>
                  <c:pt idx="19">
                    <c:v>Jyoti Vision</c:v>
                  </c:pt>
                </c:lvl>
              </c:multiLvlStrCache>
            </c:multiLvlStrRef>
          </c:cat>
          <c:val>
            <c:numRef>
              <c:f>'Top 20 Dues'!$D$5:$D$25</c:f>
              <c:numCache>
                <c:formatCode>General</c:formatCode>
                <c:ptCount val="20"/>
                <c:pt idx="0">
                  <c:v>787000</c:v>
                </c:pt>
                <c:pt idx="1">
                  <c:v>558390</c:v>
                </c:pt>
                <c:pt idx="2">
                  <c:v>535300</c:v>
                </c:pt>
                <c:pt idx="3">
                  <c:v>506150</c:v>
                </c:pt>
                <c:pt idx="4">
                  <c:v>466570</c:v>
                </c:pt>
                <c:pt idx="5">
                  <c:v>466180</c:v>
                </c:pt>
                <c:pt idx="6">
                  <c:v>455090</c:v>
                </c:pt>
                <c:pt idx="7">
                  <c:v>428370</c:v>
                </c:pt>
                <c:pt idx="8">
                  <c:v>425630</c:v>
                </c:pt>
                <c:pt idx="9">
                  <c:v>425280</c:v>
                </c:pt>
                <c:pt idx="10">
                  <c:v>407940</c:v>
                </c:pt>
                <c:pt idx="11">
                  <c:v>392700</c:v>
                </c:pt>
                <c:pt idx="12">
                  <c:v>391570</c:v>
                </c:pt>
                <c:pt idx="13">
                  <c:v>384680</c:v>
                </c:pt>
                <c:pt idx="14">
                  <c:v>367610</c:v>
                </c:pt>
                <c:pt idx="15">
                  <c:v>360860</c:v>
                </c:pt>
                <c:pt idx="16">
                  <c:v>358560</c:v>
                </c:pt>
                <c:pt idx="17">
                  <c:v>350740</c:v>
                </c:pt>
                <c:pt idx="18">
                  <c:v>349320</c:v>
                </c:pt>
                <c:pt idx="19">
                  <c:v>341800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0-4A50-A768-DFD412FC8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101063"/>
        <c:axId val="1509119495"/>
      </c:barChart>
      <c:catAx>
        <c:axId val="1509101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9119495"/>
        <c:crosses val="autoZero"/>
        <c:auto val="1"/>
        <c:lblAlgn val="ctr"/>
        <c:lblOffset val="100"/>
        <c:noMultiLvlLbl val="0"/>
      </c:catAx>
      <c:valAx>
        <c:axId val="150911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01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2.xlsx]MONTHLY SALE VS COLLECTION!PivotTable7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 vs Collection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644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0E8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644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A0E8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644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A0E8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644E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A0E8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0E886"/>
          </a:solidFill>
          <a:ln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6C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 VS COLLECTION'!$C$1</c:f>
              <c:strCache>
                <c:ptCount val="1"/>
                <c:pt idx="0">
                  <c:v>SALE</c:v>
                </c:pt>
              </c:strCache>
            </c:strRef>
          </c:tx>
          <c:spPr>
            <a:solidFill>
              <a:srgbClr val="A0E886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'MONTHLY SALE VS COLLECTION'!$B$2:$B$5</c:f>
              <c:strCache>
                <c:ptCount val="3"/>
                <c:pt idx="0">
                  <c:v>Jan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'MONTHLY SALE VS COLLECTION'!$C$2:$C$5</c:f>
              <c:numCache>
                <c:formatCode>#,##0</c:formatCode>
                <c:ptCount val="3"/>
                <c:pt idx="0">
                  <c:v>78301520</c:v>
                </c:pt>
                <c:pt idx="1">
                  <c:v>44197980</c:v>
                </c:pt>
                <c:pt idx="2">
                  <c:v>73358910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E-4C12-99EB-F25D1B7A13C9}"/>
            </c:ext>
          </c:extLst>
        </c:ser>
        <c:ser>
          <c:idx val="1"/>
          <c:order val="1"/>
          <c:tx>
            <c:strRef>
              <c:f>'MONTHLY SALE VS COLLECTION'!$D$1</c:f>
              <c:strCache>
                <c:ptCount val="1"/>
                <c:pt idx="0">
                  <c:v>Collection</c:v>
                </c:pt>
              </c:strCache>
            </c:strRef>
          </c:tx>
          <c:spPr>
            <a:solidFill>
              <a:srgbClr val="66C6FF"/>
            </a:solidFill>
            <a:ln>
              <a:noFill/>
            </a:ln>
            <a:effectLst/>
          </c:spPr>
          <c:invertIfNegative val="0"/>
          <c:cat>
            <c:strRef>
              <c:f>'MONTHLY SALE VS COLLECTION'!$B$2:$B$5</c:f>
              <c:strCache>
                <c:ptCount val="3"/>
                <c:pt idx="0">
                  <c:v>Jan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'MONTHLY SALE VS COLLECTION'!$D$2:$D$5</c:f>
              <c:numCache>
                <c:formatCode>#,##0</c:formatCode>
                <c:ptCount val="3"/>
                <c:pt idx="0">
                  <c:v>65693800</c:v>
                </c:pt>
                <c:pt idx="1">
                  <c:v>39348090</c:v>
                </c:pt>
                <c:pt idx="2">
                  <c:v>63501450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E-4C12-99EB-F25D1B7A1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-27"/>
        <c:axId val="1249249799"/>
        <c:axId val="1249251847"/>
      </c:barChart>
      <c:catAx>
        <c:axId val="124924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1847"/>
        <c:crosses val="autoZero"/>
        <c:auto val="1"/>
        <c:lblAlgn val="ctr"/>
        <c:lblOffset val="100"/>
        <c:noMultiLvlLbl val="0"/>
      </c:catAx>
      <c:valAx>
        <c:axId val="1249251847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low"/>
        <c:crossAx val="1249249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2.xlsx]CREDIT RISK!PivotTable3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Risk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A0E8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A39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0E886"/>
          </a:solidFill>
          <a:ln>
            <a:solidFill>
              <a:srgbClr val="BDF7A8"/>
            </a:solidFill>
            <a:prstDash val="solid"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'CREDIT RISK'!$C$5</c:f>
              <c:strCache>
                <c:ptCount val="1"/>
                <c:pt idx="0">
                  <c:v>Sum of Total Sale</c:v>
                </c:pt>
              </c:strCache>
            </c:strRef>
          </c:tx>
          <c:spPr>
            <a:solidFill>
              <a:srgbClr val="A0E886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A0E886"/>
              </a:solidFill>
              <a:ln>
                <a:solidFill>
                  <a:srgbClr val="BDF7A8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9F-4418-B748-58326DDC31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'CREDIT RISK'!$B$6:$B$11</c:f>
              <c:strCache>
                <c:ptCount val="5"/>
                <c:pt idx="0">
                  <c:v>Critical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'CREDIT RISK'!$C$6:$C$11</c:f>
              <c:numCache>
                <c:formatCode>#,##0</c:formatCode>
                <c:ptCount val="5"/>
                <c:pt idx="0">
                  <c:v>31099930</c:v>
                </c:pt>
                <c:pt idx="1">
                  <c:v>8163800</c:v>
                </c:pt>
                <c:pt idx="2">
                  <c:v>28144580</c:v>
                </c:pt>
                <c:pt idx="3">
                  <c:v>65377610</c:v>
                </c:pt>
                <c:pt idx="4">
                  <c:v>63072490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D-4CA7-B519-831337B6D635}"/>
            </c:ext>
          </c:extLst>
        </c:ser>
        <c:ser>
          <c:idx val="1"/>
          <c:order val="1"/>
          <c:tx>
            <c:strRef>
              <c:f>'CREDIT RISK'!$D$5</c:f>
              <c:strCache>
                <c:ptCount val="1"/>
                <c:pt idx="0">
                  <c:v>Sum of DUE</c:v>
                </c:pt>
              </c:strCache>
            </c:strRef>
          </c:tx>
          <c:spPr>
            <a:solidFill>
              <a:srgbClr val="FFA395"/>
            </a:solidFill>
            <a:ln>
              <a:noFill/>
            </a:ln>
            <a:effectLst/>
          </c:spPr>
          <c:invertIfNegative val="0"/>
          <c:cat>
            <c:strRef>
              <c:f>'CREDIT RISK'!$B$6:$B$11</c:f>
              <c:strCache>
                <c:ptCount val="5"/>
                <c:pt idx="0">
                  <c:v>Critical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  <c:pt idx="4">
                  <c:v>Very High</c:v>
                </c:pt>
              </c:strCache>
            </c:strRef>
          </c:cat>
          <c:val>
            <c:numRef>
              <c:f>'CREDIT RISK'!$D$6:$D$11</c:f>
              <c:numCache>
                <c:formatCode>General</c:formatCode>
                <c:ptCount val="5"/>
                <c:pt idx="0">
                  <c:v>8068620</c:v>
                </c:pt>
                <c:pt idx="1">
                  <c:v>721410</c:v>
                </c:pt>
                <c:pt idx="2">
                  <c:v>2530400</c:v>
                </c:pt>
                <c:pt idx="3">
                  <c:v>5402960</c:v>
                </c:pt>
                <c:pt idx="4">
                  <c:v>10591680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D-4CA7-B519-831337B6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5930759"/>
        <c:axId val="1145942023"/>
      </c:barChart>
      <c:catAx>
        <c:axId val="1145930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942023"/>
        <c:crosses val="autoZero"/>
        <c:auto val="1"/>
        <c:lblAlgn val="ctr"/>
        <c:lblOffset val="100"/>
        <c:noMultiLvlLbl val="0"/>
      </c:catAx>
      <c:valAx>
        <c:axId val="114594202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45930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2.xlsx]Team Summary!PivotTable2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A0E88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6C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A39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Summary'!$C$1</c:f>
              <c:strCache>
                <c:ptCount val="1"/>
                <c:pt idx="0">
                  <c:v>Sale</c:v>
                </c:pt>
              </c:strCache>
            </c:strRef>
          </c:tx>
          <c:spPr>
            <a:solidFill>
              <a:srgbClr val="A0E886"/>
            </a:solidFill>
            <a:ln>
              <a:noFill/>
            </a:ln>
            <a:effectLst/>
          </c:spPr>
          <c:invertIfNegative val="0"/>
          <c:cat>
            <c:strRef>
              <c:f>'Team Summary'!$B$2:$B$10</c:f>
              <c:strCache>
                <c:ptCount val="8"/>
                <c:pt idx="0">
                  <c:v>Tiwari Jee</c:v>
                </c:pt>
                <c:pt idx="1">
                  <c:v>Barun Thakur</c:v>
                </c:pt>
                <c:pt idx="2">
                  <c:v>Chandan</c:v>
                </c:pt>
                <c:pt idx="3">
                  <c:v>Vijay Jha</c:v>
                </c:pt>
                <c:pt idx="4">
                  <c:v>Gagloo Mishra</c:v>
                </c:pt>
                <c:pt idx="5">
                  <c:v>Gandhi Jee</c:v>
                </c:pt>
                <c:pt idx="6">
                  <c:v>Vivek</c:v>
                </c:pt>
                <c:pt idx="7">
                  <c:v>Ajay</c:v>
                </c:pt>
              </c:strCache>
            </c:strRef>
          </c:cat>
          <c:val>
            <c:numRef>
              <c:f>'Team Summary'!$C$2:$C$10</c:f>
              <c:numCache>
                <c:formatCode>#,##0</c:formatCode>
                <c:ptCount val="8"/>
                <c:pt idx="0">
                  <c:v>43191890</c:v>
                </c:pt>
                <c:pt idx="1">
                  <c:v>35371350</c:v>
                </c:pt>
                <c:pt idx="2">
                  <c:v>21149440</c:v>
                </c:pt>
                <c:pt idx="3">
                  <c:v>20730110</c:v>
                </c:pt>
                <c:pt idx="4">
                  <c:v>13465480</c:v>
                </c:pt>
                <c:pt idx="5">
                  <c:v>19515400</c:v>
                </c:pt>
                <c:pt idx="6">
                  <c:v>25135740</c:v>
                </c:pt>
                <c:pt idx="7">
                  <c:v>17299000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B-4A6D-9271-54D7CCAB594C}"/>
            </c:ext>
          </c:extLst>
        </c:ser>
        <c:ser>
          <c:idx val="1"/>
          <c:order val="1"/>
          <c:tx>
            <c:strRef>
              <c:f>'Team Summary'!$D$1</c:f>
              <c:strCache>
                <c:ptCount val="1"/>
                <c:pt idx="0">
                  <c:v> Total Payment</c:v>
                </c:pt>
              </c:strCache>
            </c:strRef>
          </c:tx>
          <c:spPr>
            <a:solidFill>
              <a:srgbClr val="66C6FF"/>
            </a:solidFill>
            <a:ln>
              <a:noFill/>
            </a:ln>
            <a:effectLst/>
          </c:spPr>
          <c:invertIfNegative val="0"/>
          <c:cat>
            <c:strRef>
              <c:f>'Team Summary'!$B$2:$B$10</c:f>
              <c:strCache>
                <c:ptCount val="8"/>
                <c:pt idx="0">
                  <c:v>Tiwari Jee</c:v>
                </c:pt>
                <c:pt idx="1">
                  <c:v>Barun Thakur</c:v>
                </c:pt>
                <c:pt idx="2">
                  <c:v>Chandan</c:v>
                </c:pt>
                <c:pt idx="3">
                  <c:v>Vijay Jha</c:v>
                </c:pt>
                <c:pt idx="4">
                  <c:v>Gagloo Mishra</c:v>
                </c:pt>
                <c:pt idx="5">
                  <c:v>Gandhi Jee</c:v>
                </c:pt>
                <c:pt idx="6">
                  <c:v>Vivek</c:v>
                </c:pt>
                <c:pt idx="7">
                  <c:v>Ajay</c:v>
                </c:pt>
              </c:strCache>
            </c:strRef>
          </c:cat>
          <c:val>
            <c:numRef>
              <c:f>'Team Summary'!$D$2:$D$10</c:f>
              <c:numCache>
                <c:formatCode>#,##0</c:formatCode>
                <c:ptCount val="8"/>
                <c:pt idx="0">
                  <c:v>37691990</c:v>
                </c:pt>
                <c:pt idx="1">
                  <c:v>30934920</c:v>
                </c:pt>
                <c:pt idx="2">
                  <c:v>17615120</c:v>
                </c:pt>
                <c:pt idx="3">
                  <c:v>17405340</c:v>
                </c:pt>
                <c:pt idx="4">
                  <c:v>10349110</c:v>
                </c:pt>
                <c:pt idx="5">
                  <c:v>16704300</c:v>
                </c:pt>
                <c:pt idx="6">
                  <c:v>22362390</c:v>
                </c:pt>
                <c:pt idx="7">
                  <c:v>15480170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FB-4A6D-9271-54D7CCAB594C}"/>
            </c:ext>
          </c:extLst>
        </c:ser>
        <c:ser>
          <c:idx val="2"/>
          <c:order val="2"/>
          <c:tx>
            <c:strRef>
              <c:f>'Team Summary'!$E$1</c:f>
              <c:strCache>
                <c:ptCount val="1"/>
                <c:pt idx="0">
                  <c:v>Total Due</c:v>
                </c:pt>
              </c:strCache>
            </c:strRef>
          </c:tx>
          <c:spPr>
            <a:solidFill>
              <a:srgbClr val="FFA395"/>
            </a:solidFill>
            <a:ln>
              <a:noFill/>
            </a:ln>
            <a:effectLst/>
          </c:spPr>
          <c:invertIfNegative val="0"/>
          <c:cat>
            <c:strRef>
              <c:f>'Team Summary'!$B$2:$B$10</c:f>
              <c:strCache>
                <c:ptCount val="8"/>
                <c:pt idx="0">
                  <c:v>Tiwari Jee</c:v>
                </c:pt>
                <c:pt idx="1">
                  <c:v>Barun Thakur</c:v>
                </c:pt>
                <c:pt idx="2">
                  <c:v>Chandan</c:v>
                </c:pt>
                <c:pt idx="3">
                  <c:v>Vijay Jha</c:v>
                </c:pt>
                <c:pt idx="4">
                  <c:v>Gagloo Mishra</c:v>
                </c:pt>
                <c:pt idx="5">
                  <c:v>Gandhi Jee</c:v>
                </c:pt>
                <c:pt idx="6">
                  <c:v>Vivek</c:v>
                </c:pt>
                <c:pt idx="7">
                  <c:v>Ajay</c:v>
                </c:pt>
              </c:strCache>
            </c:strRef>
          </c:cat>
          <c:val>
            <c:numRef>
              <c:f>'Team Summary'!$E$2:$E$10</c:f>
              <c:numCache>
                <c:formatCode>#,##0</c:formatCode>
                <c:ptCount val="8"/>
                <c:pt idx="0">
                  <c:v>5499900</c:v>
                </c:pt>
                <c:pt idx="1">
                  <c:v>4436430</c:v>
                </c:pt>
                <c:pt idx="2">
                  <c:v>3534320</c:v>
                </c:pt>
                <c:pt idx="3">
                  <c:v>3324770</c:v>
                </c:pt>
                <c:pt idx="4">
                  <c:v>3116370</c:v>
                </c:pt>
                <c:pt idx="5">
                  <c:v>2811100</c:v>
                </c:pt>
                <c:pt idx="6">
                  <c:v>2773350</c:v>
                </c:pt>
                <c:pt idx="7">
                  <c:v>1818830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B-4A6D-9271-54D7CCAB5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5"/>
        <c:overlap val="-27"/>
        <c:axId val="925794824"/>
        <c:axId val="925796872"/>
      </c:barChart>
      <c:catAx>
        <c:axId val="92579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96872"/>
        <c:crosses val="autoZero"/>
        <c:auto val="1"/>
        <c:lblAlgn val="ctr"/>
        <c:lblOffset val="100"/>
        <c:noMultiLvlLbl val="0"/>
      </c:catAx>
      <c:valAx>
        <c:axId val="925796872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9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[Raj_Electronics data 2.xlsx]Top 20 Dues!PivotTable1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 Debtors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20 Dues'!$D$4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'Top 20 Dues'!$B$5:$C$25</c:f>
              <c:multiLvlStrCache>
                <c:ptCount val="20"/>
                <c:lvl>
                  <c:pt idx="0">
                    <c:v>Barun Thakur</c:v>
                  </c:pt>
                  <c:pt idx="1">
                    <c:v>Vijay Jha</c:v>
                  </c:pt>
                  <c:pt idx="2">
                    <c:v>Gandhi Jee</c:v>
                  </c:pt>
                  <c:pt idx="3">
                    <c:v>Tiwari Jee</c:v>
                  </c:pt>
                  <c:pt idx="4">
                    <c:v>Gagloo Mishra</c:v>
                  </c:pt>
                  <c:pt idx="5">
                    <c:v>Barun Thakur</c:v>
                  </c:pt>
                  <c:pt idx="6">
                    <c:v>Tiwari Jee</c:v>
                  </c:pt>
                  <c:pt idx="7">
                    <c:v>Vivek</c:v>
                  </c:pt>
                  <c:pt idx="8">
                    <c:v>Ajay</c:v>
                  </c:pt>
                  <c:pt idx="9">
                    <c:v>Gagloo Mishra</c:v>
                  </c:pt>
                  <c:pt idx="10">
                    <c:v>Gandhi Jee</c:v>
                  </c:pt>
                  <c:pt idx="11">
                    <c:v>Vijay Jha</c:v>
                  </c:pt>
                  <c:pt idx="12">
                    <c:v>Tiwari Jee</c:v>
                  </c:pt>
                  <c:pt idx="13">
                    <c:v>Tiwari Jee</c:v>
                  </c:pt>
                  <c:pt idx="14">
                    <c:v>Gandhi Jee</c:v>
                  </c:pt>
                  <c:pt idx="15">
                    <c:v>Barun Thakur</c:v>
                  </c:pt>
                  <c:pt idx="16">
                    <c:v>Vijay Jha</c:v>
                  </c:pt>
                  <c:pt idx="17">
                    <c:v>Gagloo Mishra</c:v>
                  </c:pt>
                  <c:pt idx="18">
                    <c:v>Tiwari Jee</c:v>
                  </c:pt>
                  <c:pt idx="19">
                    <c:v>Chandan</c:v>
                  </c:pt>
                </c:lvl>
                <c:lvl>
                  <c:pt idx="0">
                    <c:v>Hind Refrigeration</c:v>
                  </c:pt>
                  <c:pt idx="1">
                    <c:v>City Mobile</c:v>
                  </c:pt>
                  <c:pt idx="2">
                    <c:v>Rakesh Gallery</c:v>
                  </c:pt>
                  <c:pt idx="3">
                    <c:v>Keshav Watch</c:v>
                  </c:pt>
                  <c:pt idx="4">
                    <c:v>Shyam Mobile</c:v>
                  </c:pt>
                  <c:pt idx="5">
                    <c:v>Krishna Connect</c:v>
                  </c:pt>
                  <c:pt idx="6">
                    <c:v>Vikash Point</c:v>
                  </c:pt>
                  <c:pt idx="7">
                    <c:v>Priya Yadav Centre</c:v>
                  </c:pt>
                  <c:pt idx="8">
                    <c:v>Suresh Store</c:v>
                  </c:pt>
                  <c:pt idx="9">
                    <c:v>Nand Care</c:v>
                  </c:pt>
                  <c:pt idx="10">
                    <c:v>Jai Enterprises World</c:v>
                  </c:pt>
                  <c:pt idx="11">
                    <c:v>Kanak Brothers Traders</c:v>
                  </c:pt>
                  <c:pt idx="12">
                    <c:v>Om Electronics</c:v>
                  </c:pt>
                  <c:pt idx="13">
                    <c:v>Nand Choudhary Watch</c:v>
                  </c:pt>
                  <c:pt idx="14">
                    <c:v>Sanjeev Ji Store</c:v>
                  </c:pt>
                  <c:pt idx="15">
                    <c:v>Deepak Gupta Sales</c:v>
                  </c:pt>
                  <c:pt idx="16">
                    <c:v>Mahesh Shop</c:v>
                  </c:pt>
                  <c:pt idx="17">
                    <c:v>Saraswati Gallery</c:v>
                  </c:pt>
                  <c:pt idx="18">
                    <c:v>Jai Care</c:v>
                  </c:pt>
                  <c:pt idx="19">
                    <c:v>Jyoti Vision</c:v>
                  </c:pt>
                </c:lvl>
              </c:multiLvlStrCache>
            </c:multiLvlStrRef>
          </c:cat>
          <c:val>
            <c:numRef>
              <c:f>'Top 20 Dues'!$D$5:$D$25</c:f>
              <c:numCache>
                <c:formatCode>General</c:formatCode>
                <c:ptCount val="20"/>
                <c:pt idx="0">
                  <c:v>787000</c:v>
                </c:pt>
                <c:pt idx="1">
                  <c:v>558390</c:v>
                </c:pt>
                <c:pt idx="2">
                  <c:v>535300</c:v>
                </c:pt>
                <c:pt idx="3">
                  <c:v>506150</c:v>
                </c:pt>
                <c:pt idx="4">
                  <c:v>466570</c:v>
                </c:pt>
                <c:pt idx="5">
                  <c:v>466180</c:v>
                </c:pt>
                <c:pt idx="6">
                  <c:v>455090</c:v>
                </c:pt>
                <c:pt idx="7">
                  <c:v>428370</c:v>
                </c:pt>
                <c:pt idx="8">
                  <c:v>425630</c:v>
                </c:pt>
                <c:pt idx="9">
                  <c:v>425280</c:v>
                </c:pt>
                <c:pt idx="10">
                  <c:v>407940</c:v>
                </c:pt>
                <c:pt idx="11">
                  <c:v>392700</c:v>
                </c:pt>
                <c:pt idx="12">
                  <c:v>391570</c:v>
                </c:pt>
                <c:pt idx="13">
                  <c:v>384680</c:v>
                </c:pt>
                <c:pt idx="14">
                  <c:v>367610</c:v>
                </c:pt>
                <c:pt idx="15">
                  <c:v>360860</c:v>
                </c:pt>
                <c:pt idx="16">
                  <c:v>358560</c:v>
                </c:pt>
                <c:pt idx="17">
                  <c:v>350740</c:v>
                </c:pt>
                <c:pt idx="18">
                  <c:v>349320</c:v>
                </c:pt>
                <c:pt idx="19">
                  <c:v>341800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8-43D7-8907-5ECF0278D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101063"/>
        <c:axId val="1509119495"/>
      </c:barChart>
      <c:catAx>
        <c:axId val="1509101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9119495"/>
        <c:crosses val="autoZero"/>
        <c:auto val="1"/>
        <c:lblAlgn val="ctr"/>
        <c:lblOffset val="100"/>
        <c:noMultiLvlLbl val="0"/>
      </c:catAx>
      <c:valAx>
        <c:axId val="150911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01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0</xdr:rowOff>
    </xdr:from>
    <xdr:to>
      <xdr:col>14</xdr:col>
      <xdr:colOff>323850</xdr:colOff>
      <xdr:row>9</xdr:row>
      <xdr:rowOff>514350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90B5F0-813F-C1CA-F90C-0EA1F3F48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7</xdr:col>
      <xdr:colOff>0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eam">
              <a:extLst>
                <a:ext uri="{FF2B5EF4-FFF2-40B4-BE49-F238E27FC236}">
                  <a16:creationId xmlns:a16="http://schemas.microsoft.com/office/drawing/2014/main" id="{ECAE108D-8CFD-310A-981B-C49D9448D3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267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6</xdr:col>
      <xdr:colOff>600075</xdr:colOff>
      <xdr:row>0</xdr:row>
      <xdr:rowOff>0</xdr:rowOff>
    </xdr:from>
    <xdr:to>
      <xdr:col>9</xdr:col>
      <xdr:colOff>600075</xdr:colOff>
      <xdr:row>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cency Status">
              <a:extLst>
                <a:ext uri="{FF2B5EF4-FFF2-40B4-BE49-F238E27FC236}">
                  <a16:creationId xmlns:a16="http://schemas.microsoft.com/office/drawing/2014/main" id="{D943D467-2E43-AA94-8C47-A2E55EF4CF9B}"/>
                </a:ext>
                <a:ext uri="{147F2762-F138-4A5C-976F-8EAC2B608ADB}">
                  <a16:predDERef xmlns:a16="http://schemas.microsoft.com/office/drawing/2014/main" pred="{ECAE108D-8CFD-310A-981B-C49D9448D3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ency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3400" y="628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600075</xdr:colOff>
      <xdr:row>0</xdr:row>
      <xdr:rowOff>0</xdr:rowOff>
    </xdr:from>
    <xdr:to>
      <xdr:col>17</xdr:col>
      <xdr:colOff>428625</xdr:colOff>
      <xdr:row>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FFDA2-B466-0203-5F8F-35A9154AE213}"/>
            </a:ext>
            <a:ext uri="{147F2762-F138-4A5C-976F-8EAC2B608ADB}">
              <a16:predDERef xmlns:a16="http://schemas.microsoft.com/office/drawing/2014/main" pred="{D943D467-2E43-AA94-8C47-A2E55EF4C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152400</xdr:rowOff>
    </xdr:from>
    <xdr:to>
      <xdr:col>14</xdr:col>
      <xdr:colOff>257175</xdr:colOff>
      <xdr:row>11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412DB6-978C-CA60-3045-5A2C410A5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209550</xdr:rowOff>
    </xdr:from>
    <xdr:to>
      <xdr:col>13</xdr:col>
      <xdr:colOff>409575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1C9C8-E214-4A0A-C9B6-E1ADF2E89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0</xdr:rowOff>
    </xdr:from>
    <xdr:to>
      <xdr:col>11</xdr:col>
      <xdr:colOff>85725</xdr:colOff>
      <xdr:row>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4ADE76-82CD-47C3-A25A-09F145DEF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314325</xdr:colOff>
      <xdr:row>24</xdr:row>
      <xdr:rowOff>95250</xdr:rowOff>
    </xdr:from>
    <xdr:to>
      <xdr:col>15</xdr:col>
      <xdr:colOff>514350</xdr:colOff>
      <xdr:row>30</xdr:row>
      <xdr:rowOff>76200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1BDBAF-12F0-9CCD-7B19-CE09B847D31B}"/>
            </a:ext>
            <a:ext uri="{147F2762-F138-4A5C-976F-8EAC2B608ADB}">
              <a16:predDERef xmlns:a16="http://schemas.microsoft.com/office/drawing/2014/main" pred="{882D6C61-BD85-6A77-0BC7-90E80FD26DDF}"/>
            </a:ext>
          </a:extLst>
        </xdr:cNvPr>
        <xdr:cNvSpPr txBox="1"/>
      </xdr:nvSpPr>
      <xdr:spPr>
        <a:xfrm>
          <a:off x="8220075" y="3981450"/>
          <a:ext cx="3857625" cy="952500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t">
          <a:no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9</xdr:col>
      <xdr:colOff>504825</xdr:colOff>
      <xdr:row>25</xdr:row>
      <xdr:rowOff>123825</xdr:rowOff>
    </xdr:from>
    <xdr:to>
      <xdr:col>11</xdr:col>
      <xdr:colOff>238125</xdr:colOff>
      <xdr:row>31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715526-E65B-49C1-5504-BFC89EBEFCE5}"/>
            </a:ext>
            <a:ext uri="{147F2762-F138-4A5C-976F-8EAC2B608ADB}">
              <a16:predDERef xmlns:a16="http://schemas.microsoft.com/office/drawing/2014/main" pred="{361BDBAF-12F0-9CCD-7B19-CE09B847D31B}"/>
            </a:ext>
          </a:extLst>
        </xdr:cNvPr>
        <xdr:cNvSpPr txBox="1"/>
      </xdr:nvSpPr>
      <xdr:spPr>
        <a:xfrm>
          <a:off x="8410575" y="4171950"/>
          <a:ext cx="952500" cy="952500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>
    <xdr:from>
      <xdr:col>10</xdr:col>
      <xdr:colOff>85725</xdr:colOff>
      <xdr:row>26</xdr:row>
      <xdr:rowOff>152400</xdr:rowOff>
    </xdr:from>
    <xdr:to>
      <xdr:col>11</xdr:col>
      <xdr:colOff>428625</xdr:colOff>
      <xdr:row>32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1C0FCF8-56E9-9FD3-C400-BFA5CEF8C096}"/>
            </a:ext>
            <a:ext uri="{147F2762-F138-4A5C-976F-8EAC2B608ADB}">
              <a16:predDERef xmlns:a16="http://schemas.microsoft.com/office/drawing/2014/main" pred="{34715526-E65B-49C1-5504-BFC89EBEFCE5}"/>
            </a:ext>
          </a:extLst>
        </xdr:cNvPr>
        <xdr:cNvSpPr txBox="1"/>
      </xdr:nvSpPr>
      <xdr:spPr>
        <a:xfrm>
          <a:off x="8601075" y="4362450"/>
          <a:ext cx="952500" cy="952500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t">
          <a:spAutoFit/>
        </a:bodyPr>
        <a:lstStyle/>
        <a:p>
          <a:pPr marL="0" marR="0" indent="0" algn="l" defTabSz="457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kumimoji="0" lang="en-US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endParaRPr>
        </a:p>
      </xdr:txBody>
    </xdr:sp>
    <xdr:clientData/>
  </xdr:twoCellAnchor>
  <xdr:twoCellAnchor editAs="oneCell">
    <xdr:from>
      <xdr:col>12</xdr:col>
      <xdr:colOff>95250</xdr:colOff>
      <xdr:row>0</xdr:row>
      <xdr:rowOff>0</xdr:rowOff>
    </xdr:from>
    <xdr:to>
      <xdr:col>15</xdr:col>
      <xdr:colOff>600075</xdr:colOff>
      <xdr:row>15</xdr:row>
      <xdr:rowOff>247650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eam 2">
              <a:extLst>
                <a:ext uri="{FF2B5EF4-FFF2-40B4-BE49-F238E27FC236}">
                  <a16:creationId xmlns:a16="http://schemas.microsoft.com/office/drawing/2014/main" id="{E048E20F-1180-D4EC-9795-4282D6CB7275}"/>
                </a:ext>
                <a:ext uri="{147F2762-F138-4A5C-976F-8EAC2B608ADB}">
                  <a16:predDERef xmlns:a16="http://schemas.microsoft.com/office/drawing/2014/main" pred="{41C0FCF8-56E9-9FD3-C400-BFA5CEF8C0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4175" y="1276350"/>
              <a:ext cx="2190750" cy="426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2</xdr:row>
      <xdr:rowOff>152400</xdr:rowOff>
    </xdr:from>
    <xdr:to>
      <xdr:col>20</xdr:col>
      <xdr:colOff>381000</xdr:colOff>
      <xdr:row>25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65D492-2179-2D3A-CA2D-84BA8D008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1038225</xdr:colOff>
      <xdr:row>3</xdr:row>
      <xdr:rowOff>9525</xdr:rowOff>
    </xdr:from>
    <xdr:to>
      <xdr:col>5</xdr:col>
      <xdr:colOff>0</xdr:colOff>
      <xdr:row>22</xdr:row>
      <xdr:rowOff>371475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4DF4B7-7F8A-4354-A29E-00011BBD1BB6}"/>
            </a:ext>
            <a:ext uri="{147F2762-F138-4A5C-976F-8EAC2B608ADB}">
              <a16:predDERef xmlns:a16="http://schemas.microsoft.com/office/drawing/2014/main" pred="{BF43A972-F66A-416F-8985-BA2419399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2162175</xdr:colOff>
      <xdr:row>0</xdr:row>
      <xdr:rowOff>0</xdr:rowOff>
    </xdr:from>
    <xdr:to>
      <xdr:col>11</xdr:col>
      <xdr:colOff>57150</xdr:colOff>
      <xdr:row>11</xdr:row>
      <xdr:rowOff>361950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2FB4C59-8EAF-49A8-929B-1AECFBA3AD07}"/>
            </a:ext>
            <a:ext uri="{147F2762-F138-4A5C-976F-8EAC2B608ADB}">
              <a16:predDERef xmlns:a16="http://schemas.microsoft.com/office/drawing/2014/main" pred="{AC4DF4B7-7F8A-4354-A29E-00011BBD1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</xdr:row>
      <xdr:rowOff>9525</xdr:rowOff>
    </xdr:from>
    <xdr:to>
      <xdr:col>2</xdr:col>
      <xdr:colOff>1076325</xdr:colOff>
      <xdr:row>22</xdr:row>
      <xdr:rowOff>371475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3C8FECB-C469-4562-8FDE-F4CB3EE8ACFE}"/>
            </a:ext>
            <a:ext uri="{147F2762-F138-4A5C-976F-8EAC2B608ADB}">
              <a16:predDERef xmlns:a16="http://schemas.microsoft.com/office/drawing/2014/main" pred="{72FB4C59-8EAF-49A8-929B-1AECFBA3A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</xdr:colOff>
      <xdr:row>11</xdr:row>
      <xdr:rowOff>361950</xdr:rowOff>
    </xdr:from>
    <xdr:to>
      <xdr:col>11</xdr:col>
      <xdr:colOff>57150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E3ADB-487A-4260-BB86-2DEE202BD3E2}"/>
            </a:ext>
            <a:ext uri="{147F2762-F138-4A5C-976F-8EAC2B608ADB}">
              <a16:predDERef xmlns:a16="http://schemas.microsoft.com/office/drawing/2014/main" pred="{13C8FECB-C469-4562-8FDE-F4CB3EE8A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4.708793171296" createdVersion="8" refreshedVersion="8" minRefreshableVersion="3" recordCount="200" xr:uid="{53689760-5863-4478-9F60-47346F432357}">
  <cacheSource type="worksheet">
    <worksheetSource name="Table1"/>
  </cacheSource>
  <cacheFields count="17">
    <cacheField name="Client Name" numFmtId="0">
      <sharedItems/>
    </cacheField>
    <cacheField name="Address" numFmtId="0">
      <sharedItems/>
    </cacheField>
    <cacheField name="Team" numFmtId="0">
      <sharedItems count="8">
        <s v="Gandhi Jee"/>
        <s v="Gagloo Mishra"/>
        <s v="Chandan"/>
        <s v="Barun Thakur"/>
        <s v="Tiwari Jee"/>
        <s v="Vivek"/>
        <s v="Vijay Jha"/>
        <s v="Ajay"/>
      </sharedItems>
    </cacheField>
    <cacheField name="Total Sale" numFmtId="3">
      <sharedItems containsSemiMixedTypes="0" containsString="0" containsNumber="1" containsInteger="1" minValue="7900" maxValue="3587000"/>
    </cacheField>
    <cacheField name="Sale Month" numFmtId="0">
      <sharedItems/>
    </cacheField>
    <cacheField name="Last Sale Date" numFmtId="15">
      <sharedItems containsSemiMixedTypes="0" containsNonDate="0" containsDate="1" containsString="0" minDate="2025-11-10T00:00:00" maxDate="2026-01-31T00:00:00"/>
    </cacheField>
    <cacheField name="Total Payment" numFmtId="3">
      <sharedItems containsSemiMixedTypes="0" containsString="0" containsNumber="1" containsInteger="1" minValue="1200" maxValue="2800000"/>
    </cacheField>
    <cacheField name="Payment Month" numFmtId="3">
      <sharedItems/>
    </cacheField>
    <cacheField name="Last Payment Date" numFmtId="15">
      <sharedItems containsSemiMixedTypes="0" containsNonDate="0" containsDate="1" containsString="0" minDate="2025-11-10T00:00:00" maxDate="2026-02-01T00:00:00"/>
    </cacheField>
    <cacheField name="DUE" numFmtId="3">
      <sharedItems containsSemiMixedTypes="0" containsString="0" containsNumber="1" containsInteger="1" minValue="20" maxValue="787000"/>
    </cacheField>
    <cacheField name="Sales Frequency" numFmtId="0">
      <sharedItems containsSemiMixedTypes="0" containsString="0" containsNumber="1" containsInteger="1" minValue="0" maxValue="16"/>
    </cacheField>
    <cacheField name="Payment Freqency" numFmtId="0">
      <sharedItems containsSemiMixedTypes="0" containsString="0" containsNumber="1" containsInteger="1" minValue="1" maxValue="18"/>
    </cacheField>
    <cacheField name="Balance_status" numFmtId="0">
      <sharedItems/>
    </cacheField>
    <cacheField name="Credit Risk" numFmtId="0">
      <sharedItems count="6">
        <s v="Very High"/>
        <s v="Critical"/>
        <s v="High"/>
        <s v="Medium"/>
        <s v="Low"/>
        <s v="High Risk" u="1"/>
      </sharedItems>
    </cacheField>
    <cacheField name="Days Since Last Collection" numFmtId="1">
      <sharedItems containsSemiMixedTypes="0" containsString="0" containsNumber="1" containsInteger="1" minValue="0" maxValue="82"/>
    </cacheField>
    <cacheField name="Recency Status" numFmtId="0">
      <sharedItems count="3">
        <s v="Active"/>
        <s v="Inactive"/>
        <s v="Moderate"/>
      </sharedItems>
    </cacheField>
    <cacheField name="Column1" numFmtId="0">
      <sharedItems containsBlank="1" containsMixedTypes="1" containsNumber="1" containsInteger="1" minValue="8300" maxValue="877000"/>
    </cacheField>
  </cacheFields>
  <extLst>
    <ext xmlns:x14="http://schemas.microsoft.com/office/spreadsheetml/2009/9/main" uri="{725AE2AE-9491-48be-B2B4-4EB974FC3084}">
      <x14:pivotCacheDefinition pivotCacheId="96654951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04.884979282404" createdVersion="8" refreshedVersion="8" minRefreshableVersion="3" recordCount="206" xr:uid="{83C918A4-AF99-4FC2-BD36-7BA54CDA3A08}">
  <cacheSource type="worksheet">
    <worksheetSource ref="A1:P1048576" sheet="DATA SHEET "/>
  </cacheSource>
  <cacheFields count="16">
    <cacheField name="Client Name" numFmtId="0">
      <sharedItems containsBlank="1" count="201">
        <s v="Vikash Mishra Sales"/>
        <s v="Sanjeev Ji Store"/>
        <s v="Rakesh Gallery"/>
        <s v="Raju Enterprises"/>
        <s v="Priya Pandey Service"/>
        <s v="Mithila Radio"/>
        <s v="Manoj Mobile"/>
        <s v="Kosi Centre"/>
        <s v="Jai Enterprises World"/>
        <s v="Ganesh Enterprises"/>
        <s v="Bajrang Singh Vision"/>
        <s v="Shyam Mobile"/>
        <s v="Shyam Communication"/>
        <s v="Shiv Shakti Furniture"/>
        <s v="Saraswati Gallery"/>
        <s v="Saanvi"/>
        <s v="Rs Electronics"/>
        <s v="Rangeela Enterprises"/>
        <s v="Rangeela"/>
        <s v="Ramesh Store"/>
        <s v="Ramesh Sales"/>
        <s v="Ramesh Communication"/>
        <s v="Rajdhani"/>
        <s v="Raj Electronics Naresh Kumar"/>
        <s v="Pankaj Electronics"/>
        <s v="Nand Roy Mobile"/>
        <s v="Nand Care"/>
        <s v="Mv Mobile"/>
        <s v="Mister Mobile"/>
        <s v="Mishra Mobile"/>
        <s v="Manokamna"/>
        <s v="Vidyapati Vision"/>
        <s v="Vidyapati Shop"/>
        <s v="Shri Sai Mobile"/>
        <s v="Shree Gallery"/>
        <s v="Shivam"/>
        <s v="Saraswati Watch"/>
        <s v="Sana Electronics"/>
        <s v="Sahu Bartan"/>
        <s v="Raja Sahu Store"/>
        <s v="Om Vision"/>
        <s v="Om Traders Service"/>
        <s v="New Roy Telecom"/>
        <s v="Murari"/>
        <s v="Manoj Ji"/>
        <s v="Manoj Das Mobile"/>
        <s v="Lal Jee And Sons"/>
        <s v="Keshav Sah Enterprises"/>
        <s v="Kamakhya Electronics"/>
        <s v="Kali Shop"/>
        <s v="Jyoti Vision"/>
        <s v="Jai Hub"/>
        <s v="Govind Shop"/>
        <s v="Gopal Brothers World"/>
        <s v="Ganesh Point"/>
        <s v="Ganesh Mobile"/>
        <s v="Bajrang Traders"/>
        <s v="Baba Digital"/>
        <s v="Aryan Centre"/>
        <s v="Aditya Sah Radio"/>
        <s v="Abhishek"/>
        <s v="Mukesh Das Vision"/>
        <s v="Mithila Enterprises Centre"/>
        <s v="Manoj Radio"/>
        <s v="Manoj Hub"/>
        <s v="Mandal Ji"/>
        <s v="Mahesh Enterprises Service"/>
        <s v="Maa Telecom"/>
        <s v="Maa Point"/>
        <s v="Krishna Connect"/>
        <s v="Keshav Centre"/>
        <s v="Vidyapati Point"/>
        <s v="Kanak Watch"/>
        <s v="Kanak Electronics"/>
        <s v="Rakesh Traders"/>
        <s v="Jyoti Zone"/>
        <s v="Hind Refrigeration"/>
        <s v="Hasan Electronics"/>
        <s v="Siddhivinayak Choudhary Communication"/>
        <s v="Govind Gallery"/>
        <s v="Gopal Thakur World"/>
        <s v="Tirhut Point"/>
        <s v="Galaxy"/>
        <s v="Vikash Point"/>
        <s v="Tirhut Watch"/>
        <s v="Mahesh Shop"/>
        <s v="Durga Yadav Enterprises"/>
        <s v="Om Roy Connect"/>
        <s v="Deepak Gupta Sales"/>
        <s v="Bolbam Steel"/>
        <s v="Bholenath Jha Sales"/>
        <s v="Vikash Care"/>
        <s v="Bholenath Electronics"/>
        <s v="Madhav Ji Enterprises"/>
        <s v="Bhawani Electronics"/>
        <s v="Rakesh Sales"/>
        <s v="Bajrang Das Traders"/>
        <s v="Vinayak Agency Agency"/>
        <s v="Vidyapati Connect"/>
        <s v="Bajrang Choudhary Traders"/>
        <s v="Jahid Enterprise"/>
        <s v="Maa Service"/>
        <s v="Keshav Watch"/>
        <s v="Ugna"/>
        <s v="Babul Electronics"/>
        <s v="Ranjit"/>
        <s v="Baba Sales"/>
        <s v="Baba Electronics"/>
        <s v="Aditya Point"/>
        <s v="Shayam Electronics"/>
        <s v="Mahesh Zone"/>
        <s v="Aditya Communication"/>
        <s v="Royal Communication"/>
        <s v="Janki Yadav Shop"/>
        <s v="Surya General Store"/>
        <s v="Sanjeev Hub"/>
        <s v="Suresh Store"/>
        <s v="Sumit Thakur Hub"/>
        <s v="Sri Telecom"/>
        <s v="Sumit Telecom"/>
        <s v="Raj Electronics"/>
        <s v="Bajrang Radio"/>
        <s v="Sri World"/>
        <s v="Vikash Telecom"/>
        <s v="Sri Hub"/>
        <s v="Saraswati Mobile"/>
        <s v="Sri Communication"/>
        <s v="Rakesh Centre"/>
        <s v="Kishor Electronics"/>
        <s v="Raj Zone"/>
        <s v="Anjali Gallery"/>
        <s v="Raj Watch"/>
        <s v="Nand Vision"/>
        <s v="Sufiyan"/>
        <s v="Mithila Roy Agency"/>
        <s v="Madhav Sales"/>
        <s v="Mithila Care"/>
        <s v="Mahesh Agency"/>
        <s v="Amit Connect"/>
        <s v="Madhav Agency Shop"/>
        <s v="Priya Connect"/>
        <s v="Kosi Sales"/>
        <s v="Kishor World"/>
        <s v="Madhav Thakur Mobile"/>
        <s v="Kishor Traders"/>
        <s v="Shyam Centre"/>
        <s v="Kishor Agency Electronics"/>
        <s v="Aayat"/>
        <s v="Kali Ji Sales"/>
        <s v="Vivek Communication"/>
        <s v="Jai Care"/>
        <s v="Janki Store"/>
        <s v="Pankaj Radio"/>
        <s v="Nand Choudhary Watch"/>
        <s v="Ganpati Service"/>
        <s v="Ganpati Radio"/>
        <s v="Siddhivinayak Thakur Point"/>
        <s v="Neha Care"/>
        <s v="Ganpati Agency"/>
        <s v="Sri Care"/>
        <s v="Siddhivinayak Electronics"/>
        <s v="Ganesh Watch"/>
        <s v="Bholenath Radio"/>
        <s v="Bholenath Digital"/>
        <s v="Aryan Zone"/>
        <s v="Bala Ji"/>
        <s v="Raja Sahu Vision"/>
        <s v="Anjali Mobile"/>
        <s v="Madhu Electric"/>
        <s v="Raj Electronics Supaul"/>
        <s v="Aditya Mobile"/>
        <s v="Vijendra"/>
        <s v="Bechan Silai Machine"/>
        <s v="Puja Telecom"/>
        <s v="Jyoti Communication"/>
        <s v="Durga Yadav Shop"/>
        <s v="Suresh Centre"/>
        <s v="Natwar Enterprise"/>
        <s v="Jyoti Singh Mobile"/>
        <s v="Sumit Zone"/>
        <s v="Saraswati Care"/>
        <s v="Kanak Brothers Traders"/>
        <s v="Sumit Ji Centre"/>
        <s v="Siddhivinayak Thakur Store"/>
        <s v="Raju Brothers Gallery"/>
        <s v="Nand Mobile"/>
        <s v="Om Electronics"/>
        <s v="Shri Ram Electronics"/>
        <s v="Kosi Digital"/>
        <s v="Karak Furniture"/>
        <s v="Vatika"/>
        <s v="Priya Yadav Centre"/>
        <s v="Pankaj Agency"/>
        <s v="Deepak Communication"/>
        <s v="Bablu Electronics"/>
        <s v="Vc Cooler Zahid"/>
        <s v="Raja Choudhary Agency"/>
        <s v="Raja Enterprises"/>
        <s v="City Mobile"/>
        <s v="Gauri Electronics"/>
        <m/>
      </sharedItems>
    </cacheField>
    <cacheField name="Address" numFmtId="0">
      <sharedItems containsBlank="1"/>
    </cacheField>
    <cacheField name="Team" numFmtId="0">
      <sharedItems containsBlank="1" count="9">
        <s v="Gandhi Jee"/>
        <s v="Gagloo Mishra"/>
        <s v="Chandan"/>
        <s v="Barun Thakur"/>
        <s v="Tiwari Jee"/>
        <s v="Vivek"/>
        <s v="Vijay Jha"/>
        <s v="Ajay"/>
        <m/>
      </sharedItems>
    </cacheField>
    <cacheField name="Total Sale" numFmtId="3">
      <sharedItems containsString="0" containsBlank="1" containsNumber="1" containsInteger="1" minValue="7900" maxValue="3587000"/>
    </cacheField>
    <cacheField name="Sale Month" numFmtId="0">
      <sharedItems containsBlank="1" count="7">
        <s v="Jan"/>
        <s v="Nov"/>
        <s v="Dec"/>
        <m/>
        <s v="Feb" u="1"/>
        <s v="Mar" u="1"/>
        <s v="Apr" u="1"/>
      </sharedItems>
    </cacheField>
    <cacheField name="Last Sale Date" numFmtId="15">
      <sharedItems containsNonDate="0" containsDate="1" containsString="0" containsBlank="1" minDate="2025-11-10T00:00:00" maxDate="2026-01-31T00:00:00"/>
    </cacheField>
    <cacheField name="Total Payment" numFmtId="3">
      <sharedItems containsString="0" containsBlank="1" containsNumber="1" containsInteger="1" minValue="1200" maxValue="2800000"/>
    </cacheField>
    <cacheField name="Payment Month" numFmtId="3">
      <sharedItems containsBlank="1"/>
    </cacheField>
    <cacheField name="Last Payment Date" numFmtId="15">
      <sharedItems containsNonDate="0" containsDate="1" containsString="0" containsBlank="1" minDate="2025-11-10T00:00:00" maxDate="2026-02-01T00:00:00"/>
    </cacheField>
    <cacheField name="DUE" numFmtId="3">
      <sharedItems containsString="0" containsBlank="1" containsNumber="1" containsInteger="1" minValue="20" maxValue="787000"/>
    </cacheField>
    <cacheField name="Sales Frequency" numFmtId="0">
      <sharedItems containsString="0" containsBlank="1" containsNumber="1" containsInteger="1" minValue="0" maxValue="16"/>
    </cacheField>
    <cacheField name="Payment Freqency" numFmtId="0">
      <sharedItems containsString="0" containsBlank="1" containsNumber="1" containsInteger="1" minValue="1" maxValue="18"/>
    </cacheField>
    <cacheField name="Balance_status" numFmtId="0">
      <sharedItems containsBlank="1"/>
    </cacheField>
    <cacheField name="Credit Risk" numFmtId="0">
      <sharedItems containsBlank="1" count="6">
        <s v="Very High"/>
        <s v="Critical"/>
        <s v="High"/>
        <s v="Medium"/>
        <s v="Low"/>
        <m/>
      </sharedItems>
    </cacheField>
    <cacheField name="Days Since Last Collection" numFmtId="1">
      <sharedItems containsString="0" containsBlank="1" containsNumber="1" containsInteger="1" minValue="-1" maxValue="81"/>
    </cacheField>
    <cacheField name="Recency Status" numFmtId="0">
      <sharedItems containsBlank="1"/>
    </cacheField>
  </cacheFields>
  <extLst>
    <ext xmlns:x14="http://schemas.microsoft.com/office/spreadsheetml/2009/9/main" uri="{725AE2AE-9491-48be-B2B4-4EB974FC3084}">
      <x14:pivotCacheDefinition pivotCacheId="2326824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Vikash Mishra Sales"/>
    <s v="Benipur Ward 12"/>
    <x v="0"/>
    <n v="1698760"/>
    <s v="Nov"/>
    <d v="2025-11-22T00:00:00"/>
    <n v="1421160"/>
    <s v="Jan"/>
    <d v="2026-01-02T00:00:00"/>
    <n v="277600"/>
    <n v="2"/>
    <n v="3"/>
    <s v="Pending"/>
    <x v="0"/>
    <n v="29"/>
    <x v="0"/>
    <m/>
  </r>
  <r>
    <s v="Sanjeev Ji Store"/>
    <s v="Beta Road"/>
    <x v="0"/>
    <n v="1548030"/>
    <s v="Jan"/>
    <d v="2026-01-10T00:00:00"/>
    <n v="1180420"/>
    <s v="Nov"/>
    <d v="2025-11-10T00:00:00"/>
    <n v="367610"/>
    <n v="6"/>
    <n v="3"/>
    <s v="Pending"/>
    <x v="1"/>
    <n v="82"/>
    <x v="1"/>
    <m/>
  </r>
  <r>
    <s v="Rakesh Gallery"/>
    <s v="West Delhi More"/>
    <x v="0"/>
    <n v="2169330"/>
    <s v="Jan"/>
    <d v="2026-01-05T00:00:00"/>
    <n v="1634030"/>
    <s v="Dec"/>
    <d v="2025-12-04T00:00:00"/>
    <n v="535300"/>
    <n v="16"/>
    <n v="18"/>
    <s v="Pending"/>
    <x v="1"/>
    <n v="58"/>
    <x v="2"/>
    <m/>
  </r>
  <r>
    <s v="Raju Enterprises"/>
    <s v="Lohat Ward 13"/>
    <x v="0"/>
    <n v="2390040"/>
    <s v="Jan"/>
    <d v="2026-01-27T00:00:00"/>
    <n v="2168980"/>
    <s v="Jan"/>
    <d v="2026-01-11T00:00:00"/>
    <n v="221060"/>
    <n v="3"/>
    <n v="3"/>
    <s v="Pending"/>
    <x v="0"/>
    <n v="20"/>
    <x v="0"/>
    <m/>
  </r>
  <r>
    <s v="Priya Pandey Service"/>
    <s v="Main Maulaganj"/>
    <x v="0"/>
    <n v="2445780"/>
    <s v="Jan"/>
    <d v="2026-01-30T00:00:00"/>
    <n v="2328320"/>
    <s v="Jan"/>
    <d v="2026-01-12T00:00:00"/>
    <n v="117460"/>
    <n v="6"/>
    <n v="2"/>
    <s v="Pending"/>
    <x v="2"/>
    <n v="19"/>
    <x v="0"/>
    <m/>
  </r>
  <r>
    <s v="Mithila Radio"/>
    <s v="Jale, Cinema Road"/>
    <x v="0"/>
    <n v="1443180"/>
    <s v="Jan"/>
    <d v="2026-01-27T00:00:00"/>
    <n v="1144740"/>
    <s v="Jan"/>
    <d v="2026-01-11T00:00:00"/>
    <n v="298440"/>
    <n v="6"/>
    <n v="2"/>
    <s v="Pending"/>
    <x v="0"/>
    <n v="20"/>
    <x v="0"/>
    <n v="358440"/>
  </r>
  <r>
    <s v="Manoj Mobile"/>
    <s v="Jhanjharpur Ward 12"/>
    <x v="0"/>
    <n v="1355580"/>
    <s v="Dec"/>
    <d v="2025-12-11T00:00:00"/>
    <n v="1260400"/>
    <s v="Nov"/>
    <d v="2025-11-21T00:00:00"/>
    <n v="95180"/>
    <n v="1"/>
    <n v="3"/>
    <s v="Pending"/>
    <x v="3"/>
    <n v="71"/>
    <x v="2"/>
    <n v="308180"/>
  </r>
  <r>
    <s v="Kosi Centre"/>
    <s v="Tardih"/>
    <x v="0"/>
    <n v="2100470"/>
    <s v="Dec"/>
    <d v="2025-12-19T00:00:00"/>
    <n v="1951520"/>
    <s v="Nov"/>
    <d v="2025-11-12T00:00:00"/>
    <n v="148950"/>
    <n v="4"/>
    <n v="4"/>
    <s v="Pending"/>
    <x v="2"/>
    <n v="80"/>
    <x v="1"/>
    <n v="388950"/>
  </r>
  <r>
    <s v="Jai Enterprises World"/>
    <s v="Main Warishnagar"/>
    <x v="0"/>
    <n v="1122570"/>
    <s v="Dec"/>
    <d v="2025-12-14T00:00:00"/>
    <n v="714630"/>
    <s v="Jan"/>
    <d v="2026-01-26T00:00:00"/>
    <n v="407940"/>
    <n v="6"/>
    <n v="4"/>
    <s v="Pending"/>
    <x v="1"/>
    <n v="5"/>
    <x v="0"/>
    <n v="422940"/>
  </r>
  <r>
    <s v="Ganesh Enterprises"/>
    <s v="East Benta"/>
    <x v="0"/>
    <n v="1882220"/>
    <s v="Dec"/>
    <d v="2025-12-12T00:00:00"/>
    <n v="1769940"/>
    <s v="Nov"/>
    <d v="2025-11-19T00:00:00"/>
    <n v="112280"/>
    <n v="1"/>
    <n v="1"/>
    <s v="Pending"/>
    <x v="2"/>
    <n v="73"/>
    <x v="2"/>
    <n v="331280"/>
  </r>
  <r>
    <s v="Bajrang Singh Vision"/>
    <s v="Biraul, Near High School"/>
    <x v="0"/>
    <n v="126530"/>
    <s v="Dec"/>
    <d v="2025-12-04T00:00:00"/>
    <n v="98930"/>
    <s v="Nov"/>
    <d v="2025-11-29T00:00:00"/>
    <n v="27600"/>
    <n v="5"/>
    <n v="2"/>
    <s v="Pending"/>
    <x v="4"/>
    <n v="63"/>
    <x v="2"/>
    <n v="216600"/>
  </r>
  <r>
    <s v="Shyam Mobile"/>
    <s v="Jhanjharpur"/>
    <x v="1"/>
    <n v="666570"/>
    <s v="Jan"/>
    <d v="2026-01-21T00:00:00"/>
    <n v="200000"/>
    <s v="Jan"/>
    <d v="2026-01-13T00:00:00"/>
    <n v="466570"/>
    <n v="4"/>
    <n v="3"/>
    <s v="Pending"/>
    <x v="1"/>
    <n v="18"/>
    <x v="0"/>
    <m/>
  </r>
  <r>
    <s v="Shyam Communication"/>
    <s v="Supaul Bazar Chowk"/>
    <x v="1"/>
    <n v="1006280"/>
    <s v="Nov"/>
    <d v="2025-11-12T00:00:00"/>
    <n v="669480"/>
    <s v="Dec"/>
    <d v="2025-12-29T00:00:00"/>
    <n v="336800"/>
    <n v="7"/>
    <n v="3"/>
    <s v="Pending"/>
    <x v="0"/>
    <n v="33"/>
    <x v="0"/>
    <m/>
  </r>
  <r>
    <s v="Shiv Shakti Furniture"/>
    <s v="Tatuaar"/>
    <x v="1"/>
    <n v="45000"/>
    <s v="Dec"/>
    <d v="2025-12-02T00:00:00"/>
    <n v="8710"/>
    <s v="Dec"/>
    <d v="2025-12-19T00:00:00"/>
    <n v="36290"/>
    <n v="1"/>
    <n v="3"/>
    <s v="Pending"/>
    <x v="3"/>
    <n v="43"/>
    <x v="0"/>
    <m/>
  </r>
  <r>
    <s v="Saraswati Gallery"/>
    <s v="South Paithan Kabai"/>
    <x v="1"/>
    <n v="1186650"/>
    <s v="Jan"/>
    <d v="2026-01-09T00:00:00"/>
    <n v="835910"/>
    <s v="Dec"/>
    <d v="2025-12-18T00:00:00"/>
    <n v="350740"/>
    <n v="6"/>
    <n v="2"/>
    <s v="Pending"/>
    <x v="1"/>
    <n v="44"/>
    <x v="0"/>
    <m/>
  </r>
  <r>
    <s v="Saanvi"/>
    <s v="Bahera"/>
    <x v="1"/>
    <n v="45090"/>
    <s v="Nov"/>
    <d v="2025-11-16T00:00:00"/>
    <n v="19000"/>
    <s v="Nov"/>
    <d v="2025-11-14T00:00:00"/>
    <n v="26090"/>
    <n v="1"/>
    <n v="1"/>
    <s v="Pending"/>
    <x v="4"/>
    <n v="78"/>
    <x v="1"/>
    <m/>
  </r>
  <r>
    <s v="Rs Electronics"/>
    <s v="Babubarhi"/>
    <x v="1"/>
    <n v="75970"/>
    <s v="Jan"/>
    <d v="2026-01-23T00:00:00"/>
    <n v="73100"/>
    <s v="Dec"/>
    <d v="2025-12-06T00:00:00"/>
    <n v="2870"/>
    <n v="1"/>
    <n v="2"/>
    <s v="Settled"/>
    <x v="4"/>
    <n v="56"/>
    <x v="2"/>
    <m/>
  </r>
  <r>
    <s v="Rangeela Enterprises"/>
    <s v="Beta Chowk"/>
    <x v="1"/>
    <n v="12000"/>
    <s v="Dec"/>
    <d v="2025-12-25T00:00:00"/>
    <n v="1200"/>
    <s v="Dec"/>
    <d v="2025-12-11T00:00:00"/>
    <n v="10800"/>
    <n v="1"/>
    <n v="2"/>
    <s v="Pending"/>
    <x v="4"/>
    <n v="51"/>
    <x v="2"/>
    <m/>
  </r>
  <r>
    <s v="Rangeela"/>
    <s v="Babubarhi"/>
    <x v="1"/>
    <n v="79800"/>
    <s v="Dec"/>
    <d v="2025-12-02T00:00:00"/>
    <n v="6700"/>
    <s v="Jan"/>
    <d v="2026-01-22T00:00:00"/>
    <n v="73100"/>
    <n v="1"/>
    <n v="2"/>
    <s v="Pending"/>
    <x v="3"/>
    <n v="9"/>
    <x v="0"/>
    <m/>
  </r>
  <r>
    <s v="Ramesh Store"/>
    <s v="Babubarhi, Madhubani"/>
    <x v="1"/>
    <n v="1969030"/>
    <s v="Nov"/>
    <d v="2025-11-30T00:00:00"/>
    <n v="1663040"/>
    <s v="Jan"/>
    <d v="2026-01-15T00:00:00"/>
    <n v="305990"/>
    <n v="2"/>
    <n v="2"/>
    <s v="Pending"/>
    <x v="0"/>
    <n v="16"/>
    <x v="0"/>
    <m/>
  </r>
  <r>
    <s v="Ramesh Sales"/>
    <s v="Main Shivdhara"/>
    <x v="1"/>
    <n v="2335000"/>
    <s v="Jan"/>
    <d v="2026-01-20T00:00:00"/>
    <n v="2100630"/>
    <s v="Dec"/>
    <d v="2025-12-09T00:00:00"/>
    <n v="234370"/>
    <n v="2"/>
    <n v="4"/>
    <s v="Pending"/>
    <x v="0"/>
    <n v="53"/>
    <x v="2"/>
    <m/>
  </r>
  <r>
    <s v="Ramesh Communication"/>
    <s v="Station Road, Darbhanga"/>
    <x v="1"/>
    <n v="14670"/>
    <s v="Dec"/>
    <d v="2025-12-20T00:00:00"/>
    <n v="10000"/>
    <s v="Nov"/>
    <d v="2025-11-30T00:00:00"/>
    <n v="4670"/>
    <n v="4"/>
    <n v="2"/>
    <s v="Pending"/>
    <x v="4"/>
    <n v="62"/>
    <x v="2"/>
    <m/>
  </r>
  <r>
    <s v="Rajdhani"/>
    <s v="Anhrathari"/>
    <x v="1"/>
    <n v="56660"/>
    <s v="Dec"/>
    <d v="2025-12-19T00:00:00"/>
    <n v="50000"/>
    <s v="Dec"/>
    <d v="2025-12-14T00:00:00"/>
    <n v="6660"/>
    <n v="1"/>
    <n v="2"/>
    <s v="Pending"/>
    <x v="4"/>
    <n v="48"/>
    <x v="2"/>
    <m/>
  </r>
  <r>
    <s v="Raj Electronics Naresh Kumar"/>
    <s v="Supaul Darbhanga"/>
    <x v="1"/>
    <n v="129010"/>
    <s v="Jan"/>
    <d v="2026-01-29T00:00:00"/>
    <n v="40000"/>
    <s v="Nov"/>
    <d v="2025-11-21T00:00:00"/>
    <n v="89010"/>
    <n v="3"/>
    <n v="2"/>
    <s v="Pending"/>
    <x v="3"/>
    <n v="71"/>
    <x v="2"/>
    <m/>
  </r>
  <r>
    <s v="Pankaj Electronics"/>
    <s v="Ekmi"/>
    <x v="1"/>
    <n v="1887270"/>
    <s v="Jan"/>
    <d v="2026-01-14T00:00:00"/>
    <n v="1870200"/>
    <s v="Jan"/>
    <d v="2026-01-14T00:00:00"/>
    <n v="17070"/>
    <n v="3"/>
    <n v="1"/>
    <s v="Pending"/>
    <x v="4"/>
    <n v="17"/>
    <x v="0"/>
    <m/>
  </r>
  <r>
    <s v="Nand Roy Mobile"/>
    <s v="Basopatti Ward 12"/>
    <x v="1"/>
    <n v="1160280"/>
    <s v="Nov"/>
    <d v="2025-11-11T00:00:00"/>
    <n v="855240"/>
    <s v="Dec"/>
    <d v="2025-12-09T00:00:00"/>
    <n v="305040"/>
    <n v="5"/>
    <n v="1"/>
    <s v="Pending"/>
    <x v="0"/>
    <n v="53"/>
    <x v="2"/>
    <n v="464040"/>
  </r>
  <r>
    <s v="Nand Care"/>
    <s v="Khutauna Ward 13"/>
    <x v="1"/>
    <n v="2288580"/>
    <s v="Dec"/>
    <d v="2025-12-14T00:00:00"/>
    <n v="1863300"/>
    <s v="Dec"/>
    <d v="2025-12-04T00:00:00"/>
    <n v="425280"/>
    <n v="4"/>
    <n v="2"/>
    <s v="Pending"/>
    <x v="1"/>
    <n v="58"/>
    <x v="2"/>
    <n v="599280"/>
  </r>
  <r>
    <s v="Mv Mobile"/>
    <s v="Lokha"/>
    <x v="1"/>
    <n v="75640"/>
    <s v="Nov"/>
    <d v="2025-11-14T00:00:00"/>
    <n v="25000"/>
    <s v="Dec"/>
    <d v="2025-12-01T00:00:00"/>
    <n v="50640"/>
    <n v="0"/>
    <n v="1"/>
    <s v="Pending"/>
    <x v="3"/>
    <n v="61"/>
    <x v="2"/>
    <n v="233640"/>
  </r>
  <r>
    <s v="Mister Mobile"/>
    <s v="Sakri "/>
    <x v="1"/>
    <n v="365440"/>
    <s v="Jan"/>
    <d v="2026-01-26T00:00:00"/>
    <n v="45000"/>
    <s v="Jan"/>
    <d v="2026-01-16T00:00:00"/>
    <n v="320440"/>
    <n v="4"/>
    <n v="6"/>
    <s v="Pending"/>
    <x v="0"/>
    <n v="15"/>
    <x v="0"/>
    <n v="365440"/>
  </r>
  <r>
    <s v="Mishra Mobile"/>
    <s v="Nehra Ward 15"/>
    <x v="1"/>
    <n v="12750"/>
    <s v="Jan"/>
    <d v="2026-01-02T00:00:00"/>
    <n v="5000"/>
    <s v="Jan"/>
    <d v="2026-01-28T00:00:00"/>
    <n v="7750"/>
    <n v="0"/>
    <n v="4"/>
    <s v="Pending"/>
    <x v="4"/>
    <n v="3"/>
    <x v="0"/>
    <n v="16750"/>
  </r>
  <r>
    <s v="Manokamna"/>
    <s v="Lokhi"/>
    <x v="1"/>
    <n v="53790"/>
    <s v="Jan"/>
    <d v="2026-01-01T00:00:00"/>
    <n v="7600"/>
    <s v="Dec"/>
    <d v="2025-12-29T00:00:00"/>
    <n v="46190"/>
    <n v="0"/>
    <n v="4"/>
    <s v="Pending"/>
    <x v="3"/>
    <n v="33"/>
    <x v="0"/>
    <n v="145190"/>
  </r>
  <r>
    <s v="Vidyapati Vision"/>
    <s v="West Kadirabad"/>
    <x v="2"/>
    <n v="2437020"/>
    <s v="Nov"/>
    <d v="2025-11-25T00:00:00"/>
    <n v="2292770"/>
    <s v="Dec"/>
    <d v="2025-12-11T00:00:00"/>
    <n v="144250"/>
    <n v="5"/>
    <n v="2"/>
    <s v="Pending"/>
    <x v="2"/>
    <n v="51"/>
    <x v="2"/>
    <m/>
  </r>
  <r>
    <s v="Vidyapati Shop"/>
    <s v="Hospital Road Ward 5"/>
    <x v="2"/>
    <n v="12240"/>
    <s v="Jan"/>
    <d v="2026-01-10T00:00:00"/>
    <n v="9860"/>
    <s v="Nov"/>
    <d v="2025-11-13T00:00:00"/>
    <n v="2380"/>
    <n v="5"/>
    <n v="1"/>
    <s v="Settled"/>
    <x v="4"/>
    <n v="79"/>
    <x v="1"/>
    <m/>
  </r>
  <r>
    <s v="Shri Sai Mobile"/>
    <s v="Singhwara"/>
    <x v="2"/>
    <n v="10000"/>
    <s v="Dec"/>
    <d v="2025-12-18T00:00:00"/>
    <n v="2500"/>
    <s v="Nov"/>
    <d v="2025-11-24T00:00:00"/>
    <n v="7500"/>
    <n v="2"/>
    <n v="2"/>
    <s v="Pending"/>
    <x v="4"/>
    <n v="68"/>
    <x v="2"/>
    <m/>
  </r>
  <r>
    <s v="Shree Gallery"/>
    <s v="Pandaul"/>
    <x v="2"/>
    <n v="15190"/>
    <s v="Nov"/>
    <d v="2025-11-26T00:00:00"/>
    <n v="10000"/>
    <s v="Jan"/>
    <d v="2026-01-09T00:00:00"/>
    <n v="5190"/>
    <n v="3"/>
    <n v="4"/>
    <s v="Pending"/>
    <x v="4"/>
    <n v="22"/>
    <x v="0"/>
    <m/>
  </r>
  <r>
    <s v="Shivam"/>
    <s v="Saharghat"/>
    <x v="2"/>
    <n v="230000"/>
    <s v="Nov"/>
    <d v="2025-11-23T00:00:00"/>
    <n v="65000"/>
    <s v="Dec"/>
    <d v="2025-12-01T00:00:00"/>
    <n v="165000"/>
    <n v="4"/>
    <n v="1"/>
    <s v="Pending"/>
    <x v="2"/>
    <n v="61"/>
    <x v="2"/>
    <m/>
  </r>
  <r>
    <s v="Saraswati Watch"/>
    <s v="Lohat,  Bank"/>
    <x v="2"/>
    <n v="15000"/>
    <s v="Jan"/>
    <d v="2026-01-07T00:00:00"/>
    <n v="12000"/>
    <s v="Nov"/>
    <d v="2025-11-18T00:00:00"/>
    <n v="3000"/>
    <n v="1"/>
    <n v="1"/>
    <s v="Settled"/>
    <x v="4"/>
    <n v="74"/>
    <x v="2"/>
    <m/>
  </r>
  <r>
    <s v="Sana Electronics"/>
    <s v="Madhepur"/>
    <x v="2"/>
    <n v="67680"/>
    <s v="Jan"/>
    <d v="2026-01-29T00:00:00"/>
    <n v="9000"/>
    <s v="Dec"/>
    <d v="2025-12-21T00:00:00"/>
    <n v="58680"/>
    <n v="1"/>
    <n v="1"/>
    <s v="Pending"/>
    <x v="3"/>
    <n v="41"/>
    <x v="0"/>
    <m/>
  </r>
  <r>
    <s v="Sahu Bartan"/>
    <s v="Bharwara"/>
    <x v="2"/>
    <n v="12800"/>
    <s v="Dec"/>
    <d v="2025-12-17T00:00:00"/>
    <n v="8000"/>
    <s v="Dec"/>
    <d v="2025-12-25T00:00:00"/>
    <n v="4800"/>
    <n v="1"/>
    <n v="1"/>
    <s v="Pending"/>
    <x v="4"/>
    <n v="37"/>
    <x v="0"/>
    <m/>
  </r>
  <r>
    <s v="Raja Sahu Store"/>
    <s v="Manigachhi Ward 1"/>
    <x v="2"/>
    <n v="2022840"/>
    <s v="Dec"/>
    <d v="2025-12-08T00:00:00"/>
    <n v="1756390"/>
    <s v="Nov"/>
    <d v="2025-11-14T00:00:00"/>
    <n v="266450"/>
    <n v="2"/>
    <n v="3"/>
    <s v="Pending"/>
    <x v="0"/>
    <n v="78"/>
    <x v="1"/>
    <m/>
  </r>
  <r>
    <s v="Om Vision"/>
    <s v="Beta, Station Road"/>
    <x v="2"/>
    <n v="2440560"/>
    <s v="Jan"/>
    <d v="2026-01-21T00:00:00"/>
    <n v="2202140"/>
    <s v="Jan"/>
    <d v="2026-01-30T00:00:00"/>
    <n v="238420"/>
    <n v="4"/>
    <n v="1"/>
    <s v="Pending"/>
    <x v="0"/>
    <n v="1"/>
    <x v="0"/>
    <m/>
  </r>
  <r>
    <s v="Om Traders Service"/>
    <s v="Khutauna"/>
    <x v="2"/>
    <n v="1099020"/>
    <s v="Nov"/>
    <d v="2025-11-13T00:00:00"/>
    <n v="838650"/>
    <s v="Dec"/>
    <d v="2025-12-01T00:00:00"/>
    <n v="260370"/>
    <n v="6"/>
    <n v="3"/>
    <s v="Pending"/>
    <x v="0"/>
    <n v="61"/>
    <x v="2"/>
    <m/>
  </r>
  <r>
    <s v="New Roy Telecom"/>
    <s v="Bakerganj Naka"/>
    <x v="2"/>
    <n v="1201640"/>
    <s v="Jan"/>
    <d v="2026-01-12T00:00:00"/>
    <n v="1100040"/>
    <s v="Dec"/>
    <d v="2025-12-04T00:00:00"/>
    <n v="101600"/>
    <n v="1"/>
    <n v="4"/>
    <s v="Pending"/>
    <x v="2"/>
    <n v="58"/>
    <x v="2"/>
    <m/>
  </r>
  <r>
    <s v="Murari"/>
    <s v="Madhepur"/>
    <x v="2"/>
    <n v="245680"/>
    <s v="Jan"/>
    <d v="2026-01-26T00:00:00"/>
    <n v="50000"/>
    <s v="Jan"/>
    <d v="2026-01-01T00:00:00"/>
    <n v="195680"/>
    <n v="0"/>
    <n v="3"/>
    <s v="Pending"/>
    <x v="2"/>
    <n v="30"/>
    <x v="0"/>
    <n v="285680"/>
  </r>
  <r>
    <s v="Manoj Ji"/>
    <s v="Bengra"/>
    <x v="2"/>
    <n v="56580"/>
    <s v="Jan"/>
    <d v="2026-01-09T00:00:00"/>
    <n v="3000"/>
    <s v="Dec"/>
    <d v="2025-12-04T00:00:00"/>
    <n v="53580"/>
    <n v="0"/>
    <n v="1"/>
    <s v="Pending"/>
    <x v="3"/>
    <n v="58"/>
    <x v="2"/>
    <n v="227580"/>
  </r>
  <r>
    <s v="Manoj Das Mobile"/>
    <s v="Simri Ward 3"/>
    <x v="2"/>
    <n v="1376520"/>
    <s v="Jan"/>
    <d v="2026-01-05T00:00:00"/>
    <n v="1051480"/>
    <s v="Jan"/>
    <d v="2026-01-02T00:00:00"/>
    <n v="325040"/>
    <n v="4"/>
    <n v="2"/>
    <s v="Pending"/>
    <x v="0"/>
    <n v="29"/>
    <x v="0"/>
    <n v="412040"/>
  </r>
  <r>
    <s v="Lal Jee And Sons"/>
    <s v="Bharwara"/>
    <x v="2"/>
    <n v="7900"/>
    <s v="Jan"/>
    <d v="2026-01-07T00:00:00"/>
    <n v="5000"/>
    <s v="Dec"/>
    <d v="2025-12-02T00:00:00"/>
    <n v="2900"/>
    <n v="0"/>
    <n v="4"/>
    <s v="Settled"/>
    <x v="4"/>
    <n v="60"/>
    <x v="2"/>
    <n v="182900"/>
  </r>
  <r>
    <s v="Keshav Sah Enterprises"/>
    <s v="West Kakraul"/>
    <x v="2"/>
    <n v="1501590"/>
    <s v="Nov"/>
    <d v="2025-11-25T00:00:00"/>
    <n v="1211450"/>
    <s v="Jan"/>
    <d v="2026-01-23T00:00:00"/>
    <n v="290140"/>
    <n v="4"/>
    <n v="1"/>
    <s v="Pending"/>
    <x v="0"/>
    <n v="8"/>
    <x v="0"/>
    <n v="314140"/>
  </r>
  <r>
    <s v="Kamakhya Electronics"/>
    <s v="Ratanpur"/>
    <x v="2"/>
    <n v="97890"/>
    <s v="Jan"/>
    <d v="2026-01-25T00:00:00"/>
    <n v="15000"/>
    <s v="Jan"/>
    <d v="2026-01-19T00:00:00"/>
    <n v="82890"/>
    <n v="3"/>
    <n v="1"/>
    <s v="Pending"/>
    <x v="3"/>
    <n v="12"/>
    <x v="0"/>
    <n v="118890"/>
  </r>
  <r>
    <s v="Kali Shop"/>
    <s v="Mirzapur, Darbhanga"/>
    <x v="2"/>
    <n v="19540"/>
    <s v="Nov"/>
    <d v="2025-11-27T00:00:00"/>
    <n v="16000"/>
    <s v="Jan"/>
    <d v="2026-01-23T00:00:00"/>
    <n v="3540"/>
    <n v="2"/>
    <n v="4"/>
    <s v="Pending"/>
    <x v="4"/>
    <n v="8"/>
    <x v="0"/>
    <n v="27540"/>
  </r>
  <r>
    <s v="Jyoti Vision"/>
    <s v="Belwaganj, Madhubani"/>
    <x v="2"/>
    <n v="1919020"/>
    <s v="Dec"/>
    <d v="2025-12-13T00:00:00"/>
    <n v="1577220"/>
    <s v="Dec"/>
    <d v="2025-12-21T00:00:00"/>
    <n v="341800"/>
    <n v="7"/>
    <n v="11"/>
    <s v="Pending"/>
    <x v="0"/>
    <n v="41"/>
    <x v="0"/>
    <n v="464800"/>
  </r>
  <r>
    <s v="Jai Hub"/>
    <s v="Ghoghardiha"/>
    <x v="2"/>
    <n v="164400"/>
    <s v="Nov"/>
    <d v="2025-11-14T00:00:00"/>
    <n v="135400"/>
    <s v="Jan"/>
    <d v="2026-01-29T00:00:00"/>
    <n v="29000"/>
    <n v="3"/>
    <n v="1"/>
    <s v="Pending"/>
    <x v="4"/>
    <n v="2"/>
    <x v="0"/>
    <n v="35000"/>
  </r>
  <r>
    <s v="Govind Shop"/>
    <s v="Dalsingsarai, Madhubani"/>
    <x v="2"/>
    <n v="160060"/>
    <s v="Jan"/>
    <d v="2026-01-09T00:00:00"/>
    <n v="141140"/>
    <s v="Dec"/>
    <d v="2025-12-30T00:00:00"/>
    <n v="18920"/>
    <n v="11"/>
    <n v="7"/>
    <s v="Pending"/>
    <x v="4"/>
    <n v="32"/>
    <x v="0"/>
    <n v="114920"/>
  </r>
  <r>
    <s v="Gopal Brothers World"/>
    <s v="Gangwara"/>
    <x v="2"/>
    <n v="16830"/>
    <s v="Nov"/>
    <d v="2025-11-11T00:00:00"/>
    <n v="12000"/>
    <s v="Jan"/>
    <d v="2026-01-25T00:00:00"/>
    <n v="4830"/>
    <n v="3"/>
    <n v="3"/>
    <s v="Pending"/>
    <x v="4"/>
    <n v="6"/>
    <x v="0"/>
    <n v="22830"/>
  </r>
  <r>
    <s v="Ganesh Point"/>
    <s v="Hayaghat Bazar"/>
    <x v="2"/>
    <n v="15600"/>
    <s v="Dec"/>
    <d v="2025-12-07T00:00:00"/>
    <n v="12500"/>
    <s v="Dec"/>
    <d v="2025-12-02T00:00:00"/>
    <n v="3100"/>
    <n v="2"/>
    <n v="3"/>
    <s v="Pending"/>
    <x v="4"/>
    <n v="60"/>
    <x v="2"/>
    <n v="183100"/>
  </r>
  <r>
    <s v="Ganesh Mobile"/>
    <s v="Ghoghardiya"/>
    <x v="2"/>
    <n v="1833930"/>
    <s v="Dec"/>
    <d v="2025-12-23T00:00:00"/>
    <n v="1727400"/>
    <s v="Jan"/>
    <d v="2026-01-25T00:00:00"/>
    <n v="106530"/>
    <n v="2"/>
    <n v="1"/>
    <s v="Pending"/>
    <x v="2"/>
    <n v="6"/>
    <x v="0"/>
    <n v="124530"/>
  </r>
  <r>
    <s v="Bajrang Traders"/>
    <s v="West Ratanpur"/>
    <x v="2"/>
    <n v="2206270"/>
    <s v="Jan"/>
    <d v="2026-01-05T00:00:00"/>
    <n v="1917270"/>
    <s v="Dec"/>
    <d v="2025-12-11T00:00:00"/>
    <n v="289000"/>
    <n v="9"/>
    <n v="12"/>
    <s v="Pending"/>
    <x v="0"/>
    <n v="51"/>
    <x v="2"/>
    <n v="442000"/>
  </r>
  <r>
    <s v="Baba Digital"/>
    <s v="Phulparas"/>
    <x v="2"/>
    <n v="1466840"/>
    <s v="Jan"/>
    <d v="2026-01-28T00:00:00"/>
    <n v="1201070"/>
    <s v="Nov"/>
    <d v="2025-11-27T00:00:00"/>
    <n v="265770"/>
    <n v="5"/>
    <n v="2"/>
    <s v="Pending"/>
    <x v="0"/>
    <n v="65"/>
    <x v="2"/>
    <n v="460770"/>
  </r>
  <r>
    <s v="Aryan Centre"/>
    <s v="Mirzapur Ward 15"/>
    <x v="2"/>
    <n v="241190"/>
    <s v="Dec"/>
    <d v="2025-12-07T00:00:00"/>
    <n v="208510"/>
    <s v="Nov"/>
    <d v="2025-11-16T00:00:00"/>
    <n v="32680"/>
    <n v="1"/>
    <n v="4"/>
    <s v="Pending"/>
    <x v="3"/>
    <n v="76"/>
    <x v="1"/>
    <n v="260680"/>
  </r>
  <r>
    <s v="Aditya Sah Radio"/>
    <s v="Jhanjharpur"/>
    <x v="2"/>
    <n v="243210"/>
    <s v="Dec"/>
    <d v="2025-12-01T00:00:00"/>
    <n v="20230"/>
    <s v="Dec"/>
    <d v="2025-12-15T00:00:00"/>
    <n v="222980"/>
    <n v="4"/>
    <n v="2"/>
    <s v="Pending"/>
    <x v="0"/>
    <n v="47"/>
    <x v="2"/>
    <n v="363980"/>
  </r>
  <r>
    <s v="Abhishek"/>
    <s v="Sakatpur"/>
    <x v="2"/>
    <n v="12400"/>
    <s v="Nov"/>
    <d v="2025-11-22T00:00:00"/>
    <n v="4100"/>
    <s v="Jan"/>
    <d v="2026-01-31T00:00:00"/>
    <n v="8300"/>
    <n v="1"/>
    <n v="1"/>
    <s v="Pending"/>
    <x v="4"/>
    <n v="0"/>
    <x v="0"/>
    <n v="8300"/>
  </r>
  <r>
    <s v="Mukesh Das Vision"/>
    <s v="Station Road"/>
    <x v="3"/>
    <n v="1677310"/>
    <s v="Jan"/>
    <d v="2026-01-21T00:00:00"/>
    <n v="1571410"/>
    <s v="Dec"/>
    <d v="2025-12-30T00:00:00"/>
    <n v="105900"/>
    <n v="5"/>
    <n v="1"/>
    <s v="Pending"/>
    <x v="2"/>
    <n v="32"/>
    <x v="0"/>
    <n v="201900"/>
  </r>
  <r>
    <s v="Mithila Enterprises Centre"/>
    <s v="West Station Road"/>
    <x v="3"/>
    <n v="2134090"/>
    <s v="Jan"/>
    <d v="2026-01-26T00:00:00"/>
    <n v="1971390"/>
    <s v="Dec"/>
    <d v="2025-12-19T00:00:00"/>
    <n v="162700"/>
    <n v="2"/>
    <n v="8"/>
    <s v="Pending"/>
    <x v="2"/>
    <n v="43"/>
    <x v="0"/>
    <n v="291700"/>
  </r>
  <r>
    <s v="Manoj Radio"/>
    <s v="Kakraul, Near High School"/>
    <x v="3"/>
    <n v="1717830"/>
    <s v="Dec"/>
    <d v="2025-12-18T00:00:00"/>
    <n v="1408020"/>
    <s v="Jan"/>
    <d v="2026-01-07T00:00:00"/>
    <n v="309810"/>
    <n v="11"/>
    <n v="9"/>
    <s v="Pending"/>
    <x v="0"/>
    <n v="24"/>
    <x v="0"/>
    <n v="381810"/>
  </r>
  <r>
    <s v="Manoj Hub"/>
    <s v="Simri"/>
    <x v="3"/>
    <n v="1811020"/>
    <s v="Dec"/>
    <d v="2025-12-03T00:00:00"/>
    <n v="1584050"/>
    <s v="Dec"/>
    <d v="2025-12-03T00:00:00"/>
    <n v="226970"/>
    <n v="8"/>
    <n v="4"/>
    <s v="Pending"/>
    <x v="0"/>
    <n v="59"/>
    <x v="2"/>
    <n v="403970"/>
  </r>
  <r>
    <s v="Mandal Ji"/>
    <s v="Kusheshwar"/>
    <x v="3"/>
    <n v="18000"/>
    <s v="Jan"/>
    <d v="2026-01-10T00:00:00"/>
    <n v="6000"/>
    <s v="Nov"/>
    <d v="2025-11-22T00:00:00"/>
    <n v="12000"/>
    <n v="1"/>
    <n v="2"/>
    <s v="Pending"/>
    <x v="4"/>
    <n v="70"/>
    <x v="2"/>
    <n v="222000"/>
  </r>
  <r>
    <s v="Mahesh Enterprises Service"/>
    <s v="Old Tardih"/>
    <x v="3"/>
    <n v="1928600"/>
    <s v="Dec"/>
    <d v="2025-12-14T00:00:00"/>
    <n v="1745530"/>
    <s v="Jan"/>
    <d v="2026-01-31T00:00:00"/>
    <n v="183070"/>
    <n v="4"/>
    <n v="3"/>
    <s v="Pending"/>
    <x v="2"/>
    <n v="0"/>
    <x v="0"/>
    <n v="183070"/>
  </r>
  <r>
    <s v="Maa Telecom"/>
    <s v="Mirzapur, Near High School"/>
    <x v="3"/>
    <n v="17830"/>
    <s v="Jan"/>
    <d v="2026-01-18T00:00:00"/>
    <n v="13930"/>
    <s v="Jan"/>
    <d v="2026-01-27T00:00:00"/>
    <n v="3900"/>
    <n v="1"/>
    <n v="1"/>
    <s v="Pending"/>
    <x v="4"/>
    <n v="4"/>
    <x v="0"/>
    <n v="15900"/>
  </r>
  <r>
    <s v="Maa Point"/>
    <s v="East Ujan"/>
    <x v="3"/>
    <n v="1589820"/>
    <s v="Jan"/>
    <d v="2026-01-18T00:00:00"/>
    <n v="1414560"/>
    <s v="Jan"/>
    <d v="2026-01-29T00:00:00"/>
    <n v="175260"/>
    <n v="5"/>
    <n v="4"/>
    <s v="Pending"/>
    <x v="2"/>
    <n v="2"/>
    <x v="0"/>
    <n v="181260"/>
  </r>
  <r>
    <s v="Krishna Connect"/>
    <s v="Ladania, Hospital Road"/>
    <x v="3"/>
    <n v="1828150"/>
    <s v="Jan"/>
    <d v="2026-01-10T00:00:00"/>
    <n v="1361970"/>
    <s v="Jan"/>
    <d v="2026-01-28T00:00:00"/>
    <n v="466180"/>
    <n v="5"/>
    <n v="4"/>
    <s v="Pending"/>
    <x v="1"/>
    <n v="3"/>
    <x v="0"/>
    <n v="475180"/>
  </r>
  <r>
    <s v="Keshav Centre"/>
    <s v="Sakatpur, Station Road"/>
    <x v="3"/>
    <n v="2009740"/>
    <s v="Jan"/>
    <d v="2026-01-18T00:00:00"/>
    <n v="1896800"/>
    <s v="Jan"/>
    <d v="2026-01-23T00:00:00"/>
    <n v="112940"/>
    <n v="6"/>
    <n v="2"/>
    <s v="Pending"/>
    <x v="2"/>
    <n v="8"/>
    <x v="0"/>
    <n v="136940"/>
  </r>
  <r>
    <s v="Vidyapati Point"/>
    <s v="South Urdu Bazar"/>
    <x v="4"/>
    <n v="19720"/>
    <s v="Dec"/>
    <d v="2025-12-19T00:00:00"/>
    <n v="16860"/>
    <s v="Nov"/>
    <d v="2025-11-26T00:00:00"/>
    <n v="2860"/>
    <n v="6"/>
    <n v="4"/>
    <s v="Settled"/>
    <x v="4"/>
    <n v="66"/>
    <x v="2"/>
    <m/>
  </r>
  <r>
    <s v="Kanak Watch"/>
    <s v="Kishanpur"/>
    <x v="3"/>
    <n v="2464670"/>
    <s v="Jan"/>
    <d v="2026-01-13T00:00:00"/>
    <n v="2393830"/>
    <s v="Jan"/>
    <d v="2026-01-11T00:00:00"/>
    <n v="70840"/>
    <n v="5"/>
    <n v="4"/>
    <s v="Pending"/>
    <x v="3"/>
    <n v="20"/>
    <x v="0"/>
    <n v="130840"/>
  </r>
  <r>
    <s v="Kanak Electronics"/>
    <s v="Jhanjharpur Rs More"/>
    <x v="3"/>
    <n v="212430"/>
    <s v="Nov"/>
    <d v="2025-11-29T00:00:00"/>
    <n v="171970"/>
    <s v="Dec"/>
    <d v="2025-12-17T00:00:00"/>
    <n v="40460"/>
    <n v="7"/>
    <n v="5"/>
    <s v="Pending"/>
    <x v="3"/>
    <n v="45"/>
    <x v="0"/>
    <n v="175460"/>
  </r>
  <r>
    <s v="Rakesh Traders"/>
    <s v="Bahadurpur Road"/>
    <x v="5"/>
    <n v="23500"/>
    <s v="Jan"/>
    <d v="2026-01-08T00:00:00"/>
    <n v="13500"/>
    <s v="Jan"/>
    <d v="2026-01-08T00:00:00"/>
    <n v="10000"/>
    <n v="1"/>
    <n v="1"/>
    <s v="Pending"/>
    <x v="4"/>
    <n v="23"/>
    <x v="0"/>
    <m/>
  </r>
  <r>
    <s v="Jyoti Zone"/>
    <s v="Bengra,  Bank"/>
    <x v="3"/>
    <n v="1566020"/>
    <s v="Dec"/>
    <d v="2025-12-04T00:00:00"/>
    <n v="1370740"/>
    <s v="Jan"/>
    <d v="2026-01-24T00:00:00"/>
    <n v="195280"/>
    <n v="3"/>
    <n v="2"/>
    <s v="Pending"/>
    <x v="2"/>
    <n v="7"/>
    <x v="0"/>
    <n v="216280"/>
  </r>
  <r>
    <s v="Hind Refrigeration"/>
    <s v="Khutauna"/>
    <x v="3"/>
    <n v="3587000"/>
    <s v="Jan"/>
    <d v="2026-01-13T00:00:00"/>
    <n v="2800000"/>
    <s v="Jan"/>
    <d v="2026-01-01T00:00:00"/>
    <n v="787000"/>
    <n v="1"/>
    <n v="2"/>
    <s v="Pending"/>
    <x v="1"/>
    <n v="30"/>
    <x v="0"/>
    <n v="877000"/>
  </r>
  <r>
    <s v="Hasan Electronics"/>
    <s v="Nari"/>
    <x v="3"/>
    <n v="87000"/>
    <s v="Jan"/>
    <d v="2026-01-20T00:00:00"/>
    <n v="10000"/>
    <s v="Nov"/>
    <d v="2025-11-21T00:00:00"/>
    <n v="77000"/>
    <n v="1"/>
    <n v="1"/>
    <s v="Pending"/>
    <x v="3"/>
    <n v="71"/>
    <x v="2"/>
    <n v="290000"/>
  </r>
  <r>
    <s v="Siddhivinayak Choudhary Communication"/>
    <s v="New Benipatti"/>
    <x v="4"/>
    <n v="2144640"/>
    <s v="Jan"/>
    <d v="2026-01-25T00:00:00"/>
    <n v="1899680"/>
    <s v="Jan"/>
    <d v="2026-01-05T00:00:00"/>
    <n v="244960"/>
    <n v="1"/>
    <n v="4"/>
    <s v="Pending"/>
    <x v="0"/>
    <n v="26"/>
    <x v="0"/>
    <m/>
  </r>
  <r>
    <s v="Govind Gallery"/>
    <s v="Ujan"/>
    <x v="3"/>
    <n v="1279210"/>
    <s v="Nov"/>
    <d v="2025-11-17T00:00:00"/>
    <n v="1192920"/>
    <s v="Dec"/>
    <d v="2025-12-11T00:00:00"/>
    <n v="86290"/>
    <n v="2"/>
    <n v="2"/>
    <s v="Pending"/>
    <x v="3"/>
    <n v="51"/>
    <x v="2"/>
    <n v="239290"/>
  </r>
  <r>
    <s v="Gopal Thakur World"/>
    <s v="Babubarhi,  Bank"/>
    <x v="3"/>
    <n v="20800"/>
    <s v="Dec"/>
    <d v="2025-12-20T00:00:00"/>
    <n v="8000"/>
    <s v="Jan"/>
    <d v="2026-01-16T00:00:00"/>
    <n v="12800"/>
    <n v="3"/>
    <n v="2"/>
    <s v="Pending"/>
    <x v="4"/>
    <n v="15"/>
    <x v="0"/>
    <n v="57800"/>
  </r>
  <r>
    <s v="Tirhut Point"/>
    <s v="Paithan Kabai Ward 6"/>
    <x v="6"/>
    <n v="1044170"/>
    <s v="Nov"/>
    <d v="2025-11-30T00:00:00"/>
    <n v="741760"/>
    <s v="Dec"/>
    <d v="2025-12-10T00:00:00"/>
    <n v="302410"/>
    <n v="3"/>
    <n v="2"/>
    <s v="Pending"/>
    <x v="0"/>
    <n v="52"/>
    <x v="2"/>
    <m/>
  </r>
  <r>
    <s v="Galaxy"/>
    <s v="Ashapur"/>
    <x v="3"/>
    <n v="22660"/>
    <s v="Nov"/>
    <d v="2025-11-16T00:00:00"/>
    <n v="20000"/>
    <s v="Jan"/>
    <d v="2026-01-27T00:00:00"/>
    <n v="2660"/>
    <n v="1"/>
    <n v="1"/>
    <s v="Settled"/>
    <x v="4"/>
    <n v="4"/>
    <x v="0"/>
    <n v="14660"/>
  </r>
  <r>
    <s v="Vikash Point"/>
    <s v="Alinagar"/>
    <x v="4"/>
    <n v="2042170"/>
    <s v="Dec"/>
    <d v="2025-12-25T00:00:00"/>
    <n v="1587080"/>
    <s v="Jan"/>
    <d v="2026-01-27T00:00:00"/>
    <n v="455090"/>
    <n v="3"/>
    <n v="4"/>
    <s v="Pending"/>
    <x v="1"/>
    <n v="4"/>
    <x v="0"/>
    <m/>
  </r>
  <r>
    <s v="Tirhut Watch"/>
    <s v="Bharwara Naka"/>
    <x v="5"/>
    <n v="2117130"/>
    <s v="Jan"/>
    <d v="2026-01-29T00:00:00"/>
    <n v="2020960"/>
    <s v="Nov"/>
    <d v="2025-11-21T00:00:00"/>
    <n v="96170"/>
    <n v="2"/>
    <n v="2"/>
    <s v="Pending"/>
    <x v="3"/>
    <n v="71"/>
    <x v="2"/>
    <m/>
  </r>
  <r>
    <s v="Mahesh Shop"/>
    <s v="Gudri, Station Road"/>
    <x v="6"/>
    <n v="1475130"/>
    <s v="Dec"/>
    <d v="2025-12-26T00:00:00"/>
    <n v="1116570"/>
    <s v="Nov"/>
    <d v="2025-11-27T00:00:00"/>
    <n v="358560"/>
    <n v="6"/>
    <n v="7"/>
    <s v="Pending"/>
    <x v="1"/>
    <n v="65"/>
    <x v="2"/>
    <n v="553560"/>
  </r>
  <r>
    <s v="Durga Yadav Enterprises"/>
    <s v="New Hanuman Nagar"/>
    <x v="3"/>
    <n v="14310"/>
    <s v="Nov"/>
    <d v="2025-11-28T00:00:00"/>
    <n v="12620"/>
    <s v="Jan"/>
    <d v="2026-01-09T00:00:00"/>
    <n v="1690"/>
    <n v="1"/>
    <n v="2"/>
    <s v="Settled"/>
    <x v="4"/>
    <n v="22"/>
    <x v="0"/>
    <n v="67690"/>
  </r>
  <r>
    <s v="Om Roy Connect"/>
    <s v="Maulaganj,  Mandir"/>
    <x v="4"/>
    <n v="2172060"/>
    <s v="Dec"/>
    <d v="2025-12-30T00:00:00"/>
    <n v="2114160"/>
    <s v="Nov"/>
    <d v="2025-11-29T00:00:00"/>
    <n v="57900"/>
    <n v="6"/>
    <n v="4"/>
    <s v="Pending"/>
    <x v="3"/>
    <n v="63"/>
    <x v="2"/>
    <m/>
  </r>
  <r>
    <s v="Deepak Gupta Sales"/>
    <s v="Station Road"/>
    <x v="3"/>
    <n v="1526020"/>
    <s v="Dec"/>
    <d v="2025-12-26T00:00:00"/>
    <n v="1165160"/>
    <s v="Jan"/>
    <d v="2026-01-18T00:00:00"/>
    <n v="360860"/>
    <n v="1"/>
    <n v="4"/>
    <s v="Pending"/>
    <x v="1"/>
    <n v="13"/>
    <x v="0"/>
    <n v="399860"/>
  </r>
  <r>
    <s v="Bolbam Steel"/>
    <s v="Kusheshwar"/>
    <x v="3"/>
    <n v="147000"/>
    <s v="Nov"/>
    <d v="2025-11-24T00:00:00"/>
    <n v="50000"/>
    <s v="Jan"/>
    <d v="2026-01-15T00:00:00"/>
    <n v="97000"/>
    <n v="3"/>
    <n v="2"/>
    <s v="Pending"/>
    <x v="3"/>
    <n v="16"/>
    <x v="0"/>
    <n v="145000"/>
  </r>
  <r>
    <s v="Bholenath Jha Sales"/>
    <s v="Paithan Kabai Bazar"/>
    <x v="3"/>
    <n v="2167440"/>
    <s v="Dec"/>
    <d v="2025-12-25T00:00:00"/>
    <n v="2029130"/>
    <s v="Dec"/>
    <d v="2025-12-05T00:00:00"/>
    <n v="138310"/>
    <n v="1"/>
    <n v="1"/>
    <s v="Pending"/>
    <x v="2"/>
    <n v="57"/>
    <x v="2"/>
    <n v="309310"/>
  </r>
  <r>
    <s v="Vikash Care"/>
    <s v="Rajnagar, Darbhanga"/>
    <x v="5"/>
    <n v="2352800"/>
    <s v="Jan"/>
    <d v="2026-01-22T00:00:00"/>
    <n v="2277100"/>
    <s v="Nov"/>
    <d v="2025-11-30T00:00:00"/>
    <n v="75700"/>
    <n v="4"/>
    <n v="3"/>
    <s v="Pending"/>
    <x v="3"/>
    <n v="62"/>
    <x v="2"/>
    <m/>
  </r>
  <r>
    <s v="Bholenath Electronics"/>
    <s v="Kaptanganj"/>
    <x v="3"/>
    <n v="1273490"/>
    <s v="Jan"/>
    <d v="2026-01-26T00:00:00"/>
    <n v="1055640"/>
    <s v="Jan"/>
    <d v="2026-01-03T00:00:00"/>
    <n v="217850"/>
    <n v="2"/>
    <n v="4"/>
    <s v="Pending"/>
    <x v="0"/>
    <n v="28"/>
    <x v="0"/>
    <n v="301850"/>
  </r>
  <r>
    <s v="Madhav Ji Enterprises"/>
    <s v="Mangrauni Naka"/>
    <x v="6"/>
    <n v="2176480"/>
    <s v="Jan"/>
    <d v="2026-01-02T00:00:00"/>
    <n v="2008520"/>
    <s v="Dec"/>
    <d v="2025-12-11T00:00:00"/>
    <n v="167960"/>
    <n v="6"/>
    <n v="4"/>
    <s v="Pending"/>
    <x v="2"/>
    <n v="51"/>
    <x v="2"/>
    <n v="320960"/>
  </r>
  <r>
    <s v="Bhawani Electronics"/>
    <s v="Supaul"/>
    <x v="3"/>
    <n v="65000"/>
    <s v="Jan"/>
    <d v="2026-01-01T00:00:00"/>
    <n v="50000"/>
    <s v="Dec"/>
    <d v="2025-12-30T00:00:00"/>
    <n v="15000"/>
    <n v="2"/>
    <n v="1"/>
    <s v="Pending"/>
    <x v="4"/>
    <n v="32"/>
    <x v="0"/>
    <n v="111000"/>
  </r>
  <r>
    <s v="Rakesh Sales"/>
    <s v="Babubarhi More"/>
    <x v="4"/>
    <n v="2184630"/>
    <s v="Jan"/>
    <d v="2026-01-06T00:00:00"/>
    <n v="2121610"/>
    <s v="Dec"/>
    <d v="2025-12-31T00:00:00"/>
    <n v="63020"/>
    <n v="1"/>
    <n v="2"/>
    <s v="Pending"/>
    <x v="3"/>
    <n v="31"/>
    <x v="0"/>
    <m/>
  </r>
  <r>
    <s v="Bajrang Das Traders"/>
    <s v="Belwaganj Ward 5"/>
    <x v="3"/>
    <n v="1645900"/>
    <s v="Nov"/>
    <d v="2025-11-19T00:00:00"/>
    <n v="1608740"/>
    <s v="Nov"/>
    <d v="2025-11-17T00:00:00"/>
    <n v="37160"/>
    <n v="2"/>
    <n v="2"/>
    <s v="Pending"/>
    <x v="3"/>
    <n v="75"/>
    <x v="2"/>
    <n v="262160"/>
  </r>
  <r>
    <s v="Vinayak Agency Agency"/>
    <s v="Mirzapur, Darbhanga"/>
    <x v="5"/>
    <n v="20220"/>
    <s v="Dec"/>
    <d v="2025-12-24T00:00:00"/>
    <n v="16750"/>
    <s v="Dec"/>
    <d v="2025-12-31T00:00:00"/>
    <n v="3470"/>
    <n v="4"/>
    <n v="2"/>
    <s v="Pending"/>
    <x v="4"/>
    <n v="31"/>
    <x v="0"/>
    <m/>
  </r>
  <r>
    <s v="Vidyapati Connect"/>
    <s v="Harlakhi Ward 10"/>
    <x v="5"/>
    <n v="2218020"/>
    <s v="Dec"/>
    <d v="2025-12-26T00:00:00"/>
    <n v="2002780"/>
    <s v="Jan"/>
    <d v="2026-01-21T00:00:00"/>
    <n v="215240"/>
    <n v="1"/>
    <n v="3"/>
    <s v="Pending"/>
    <x v="0"/>
    <n v="10"/>
    <x v="0"/>
    <m/>
  </r>
  <r>
    <s v="Bajrang Choudhary Traders"/>
    <s v="Dalsingsarai Chowk"/>
    <x v="3"/>
    <n v="11000"/>
    <s v="Dec"/>
    <d v="2025-12-13T00:00:00"/>
    <n v="4000"/>
    <s v="Nov"/>
    <d v="2025-11-11T00:00:00"/>
    <n v="7000"/>
    <n v="3"/>
    <n v="2"/>
    <s v="Pending"/>
    <x v="4"/>
    <n v="81"/>
    <x v="1"/>
    <n v="250000"/>
  </r>
  <r>
    <s v="Jahid Enterprise"/>
    <s v="Madhubani"/>
    <x v="6"/>
    <n v="185610"/>
    <s v="Jan"/>
    <d v="2026-01-21T00:00:00"/>
    <n v="115000"/>
    <s v="Jan"/>
    <d v="2026-01-07T00:00:00"/>
    <n v="70610"/>
    <n v="2"/>
    <n v="3"/>
    <s v="Pending"/>
    <x v="3"/>
    <n v="24"/>
    <x v="0"/>
    <n v="142610"/>
  </r>
  <r>
    <s v="Maa Service"/>
    <s v="Main Bharwara"/>
    <x v="4"/>
    <n v="2189790"/>
    <s v="Nov"/>
    <d v="2025-11-28T00:00:00"/>
    <n v="2045680"/>
    <s v="Jan"/>
    <d v="2026-01-28T00:00:00"/>
    <n v="144110"/>
    <n v="5"/>
    <n v="2"/>
    <s v="Pending"/>
    <x v="2"/>
    <n v="3"/>
    <x v="0"/>
    <n v="153110"/>
  </r>
  <r>
    <s v="Keshav Watch"/>
    <s v="Warishnagar"/>
    <x v="4"/>
    <n v="2222440"/>
    <s v="Jan"/>
    <d v="2026-01-02T00:00:00"/>
    <n v="1716290"/>
    <s v="Nov"/>
    <d v="2025-11-13T00:00:00"/>
    <n v="506150"/>
    <n v="12"/>
    <n v="8"/>
    <s v="Pending"/>
    <x v="1"/>
    <n v="79"/>
    <x v="1"/>
    <n v="743150"/>
  </r>
  <r>
    <s v="Ugna"/>
    <s v="Mirjapur"/>
    <x v="6"/>
    <n v="38700"/>
    <s v="Jan"/>
    <d v="2026-01-12T00:00:00"/>
    <n v="18500"/>
    <s v="Dec"/>
    <d v="2025-12-24T00:00:00"/>
    <n v="20200"/>
    <n v="1"/>
    <n v="2"/>
    <s v="Pending"/>
    <x v="4"/>
    <n v="38"/>
    <x v="0"/>
    <m/>
  </r>
  <r>
    <s v="Babul Electronics"/>
    <s v="Supaul"/>
    <x v="3"/>
    <n v="70000"/>
    <s v="Nov"/>
    <d v="2025-11-23T00:00:00"/>
    <n v="21000"/>
    <s v="Jan"/>
    <d v="2026-01-23T00:00:00"/>
    <n v="49000"/>
    <n v="1"/>
    <n v="1"/>
    <s v="Pending"/>
    <x v="3"/>
    <n v="8"/>
    <x v="0"/>
    <n v="73000"/>
  </r>
  <r>
    <s v="Ranjit"/>
    <s v="Kusheshwar"/>
    <x v="5"/>
    <n v="67000"/>
    <s v="Jan"/>
    <d v="2026-01-25T00:00:00"/>
    <n v="15000"/>
    <s v="Dec"/>
    <d v="2025-12-16T00:00:00"/>
    <n v="52000"/>
    <n v="1"/>
    <n v="4"/>
    <s v="Pending"/>
    <x v="3"/>
    <n v="46"/>
    <x v="2"/>
    <m/>
  </r>
  <r>
    <s v="Baba Sales"/>
    <s v="Mansapur Market"/>
    <x v="3"/>
    <n v="2079500"/>
    <s v="Nov"/>
    <d v="2025-11-29T00:00:00"/>
    <n v="1759220"/>
    <s v="Jan"/>
    <d v="2026-01-04T00:00:00"/>
    <n v="320280"/>
    <n v="4"/>
    <n v="4"/>
    <s v="Pending"/>
    <x v="0"/>
    <n v="27"/>
    <x v="0"/>
    <n v="401280"/>
  </r>
  <r>
    <s v="Baba Electronics"/>
    <s v="Muzaffarpur Road Chowk"/>
    <x v="3"/>
    <n v="2355770"/>
    <s v="Jan"/>
    <d v="2026-01-08T00:00:00"/>
    <n v="2201120"/>
    <s v="Nov"/>
    <d v="2025-11-18T00:00:00"/>
    <n v="154650"/>
    <n v="4"/>
    <n v="1"/>
    <s v="Pending"/>
    <x v="2"/>
    <n v="74"/>
    <x v="2"/>
    <n v="376650"/>
  </r>
  <r>
    <s v="Aditya Point"/>
    <s v="Nehra Ward 15"/>
    <x v="3"/>
    <n v="19270"/>
    <s v="Jan"/>
    <d v="2026-01-11T00:00:00"/>
    <n v="15850"/>
    <s v="Dec"/>
    <d v="2025-12-28T00:00:00"/>
    <n v="3420"/>
    <n v="4"/>
    <n v="2"/>
    <s v="Pending"/>
    <x v="4"/>
    <n v="34"/>
    <x v="0"/>
    <n v="105420"/>
  </r>
  <r>
    <s v="Shayam Electronics"/>
    <s v="Kusheshwar"/>
    <x v="5"/>
    <n v="565670"/>
    <s v="Dec"/>
    <d v="2025-12-26T00:00:00"/>
    <n v="450000"/>
    <s v="Nov"/>
    <d v="2025-11-10T00:00:00"/>
    <n v="115670"/>
    <n v="4"/>
    <n v="6"/>
    <s v="Pending"/>
    <x v="2"/>
    <n v="82"/>
    <x v="1"/>
    <m/>
  </r>
  <r>
    <s v="Mahesh Zone"/>
    <s v="Warishnagar Road"/>
    <x v="4"/>
    <n v="2284700"/>
    <s v="Nov"/>
    <d v="2025-11-21T00:00:00"/>
    <n v="2066100"/>
    <s v="Nov"/>
    <d v="2025-11-26T00:00:00"/>
    <n v="218600"/>
    <n v="5"/>
    <n v="11"/>
    <s v="Pending"/>
    <x v="0"/>
    <n v="66"/>
    <x v="2"/>
    <n v="416600"/>
  </r>
  <r>
    <s v="Aditya Communication"/>
    <s v="East Gangania"/>
    <x v="3"/>
    <n v="24470"/>
    <s v="Dec"/>
    <d v="2025-12-01T00:00:00"/>
    <n v="21320"/>
    <s v="Dec"/>
    <d v="2025-12-11T00:00:00"/>
    <n v="3150"/>
    <n v="3"/>
    <n v="3"/>
    <s v="Pending"/>
    <x v="4"/>
    <n v="51"/>
    <x v="2"/>
    <n v="156150"/>
  </r>
  <r>
    <s v="Royal Communication"/>
    <s v="Bhowara Ward 15"/>
    <x v="5"/>
    <n v="1958450"/>
    <s v="Dec"/>
    <d v="2025-12-30T00:00:00"/>
    <n v="1820250"/>
    <s v="Dec"/>
    <d v="2025-12-12T00:00:00"/>
    <n v="138200"/>
    <n v="7"/>
    <n v="5"/>
    <s v="Pending"/>
    <x v="2"/>
    <n v="50"/>
    <x v="2"/>
    <m/>
  </r>
  <r>
    <s v="Janki Yadav Shop"/>
    <s v="Madhubani Bazar"/>
    <x v="4"/>
    <n v="1645230"/>
    <s v="Nov"/>
    <d v="2025-11-19T00:00:00"/>
    <n v="1336720"/>
    <s v="Dec"/>
    <d v="2025-12-08T00:00:00"/>
    <n v="308510"/>
    <n v="4"/>
    <n v="2"/>
    <s v="Pending"/>
    <x v="0"/>
    <n v="54"/>
    <x v="2"/>
    <n v="470510"/>
  </r>
  <r>
    <s v="Surya General Store"/>
    <s v="Benipatti"/>
    <x v="7"/>
    <n v="69540"/>
    <s v="Jan"/>
    <d v="2026-01-05T00:00:00"/>
    <n v="20000"/>
    <s v="Dec"/>
    <d v="2025-12-12T00:00:00"/>
    <n v="49540"/>
    <n v="1"/>
    <n v="1"/>
    <s v="Pending"/>
    <x v="3"/>
    <n v="50"/>
    <x v="2"/>
    <m/>
  </r>
  <r>
    <s v="Sanjeev Hub"/>
    <s v="Muzaffarpur Road More"/>
    <x v="5"/>
    <n v="60000"/>
    <s v="Jan"/>
    <d v="2026-01-04T00:00:00"/>
    <n v="10000"/>
    <s v="Jan"/>
    <d v="2026-01-15T00:00:00"/>
    <n v="50000"/>
    <n v="5"/>
    <n v="2"/>
    <s v="Pending"/>
    <x v="3"/>
    <n v="16"/>
    <x v="0"/>
    <m/>
  </r>
  <r>
    <s v="Suresh Store"/>
    <s v="New Station Road"/>
    <x v="7"/>
    <n v="1284670"/>
    <s v="Nov"/>
    <d v="2025-11-12T00:00:00"/>
    <n v="859040"/>
    <s v="Nov"/>
    <d v="2025-11-15T00:00:00"/>
    <n v="425630"/>
    <n v="3"/>
    <n v="4"/>
    <s v="Pending"/>
    <x v="1"/>
    <n v="77"/>
    <x v="1"/>
    <m/>
  </r>
  <r>
    <s v="Sumit Thakur Hub"/>
    <s v="Main Kishanpur"/>
    <x v="7"/>
    <n v="22480"/>
    <s v="Dec"/>
    <d v="2025-12-07T00:00:00"/>
    <n v="19720"/>
    <s v="Nov"/>
    <d v="2025-11-25T00:00:00"/>
    <n v="2760"/>
    <n v="4"/>
    <n v="2"/>
    <s v="Settled"/>
    <x v="4"/>
    <n v="67"/>
    <x v="2"/>
    <m/>
  </r>
  <r>
    <s v="Sri Telecom"/>
    <s v="Ujan Ward 5"/>
    <x v="7"/>
    <n v="12570"/>
    <s v="Jan"/>
    <d v="2026-01-20T00:00:00"/>
    <n v="10000"/>
    <s v="Dec"/>
    <d v="2025-12-28T00:00:00"/>
    <n v="2570"/>
    <n v="6"/>
    <n v="2"/>
    <s v="Settled"/>
    <x v="4"/>
    <n v="34"/>
    <x v="0"/>
    <m/>
  </r>
  <r>
    <s v="Sumit Telecom"/>
    <s v="Baheri, Darbhanga"/>
    <x v="6"/>
    <n v="10400"/>
    <s v="Dec"/>
    <d v="2025-12-20T00:00:00"/>
    <n v="7000"/>
    <s v="Jan"/>
    <d v="2026-01-10T00:00:00"/>
    <n v="3400"/>
    <n v="4"/>
    <n v="1"/>
    <s v="Pending"/>
    <x v="4"/>
    <n v="21"/>
    <x v="0"/>
    <m/>
  </r>
  <r>
    <s v="Raj Electronics"/>
    <s v="Baheri"/>
    <x v="5"/>
    <n v="65660"/>
    <s v="Nov"/>
    <d v="2025-11-14T00:00:00"/>
    <n v="10000"/>
    <s v="Nov"/>
    <d v="2025-11-25T00:00:00"/>
    <n v="55660"/>
    <n v="1"/>
    <n v="2"/>
    <s v="Pending"/>
    <x v="3"/>
    <n v="67"/>
    <x v="2"/>
    <m/>
  </r>
  <r>
    <s v="Bajrang Radio"/>
    <s v="Laukaha Ghat"/>
    <x v="6"/>
    <n v="1893280"/>
    <s v="Dec"/>
    <d v="2025-12-10T00:00:00"/>
    <n v="1718710"/>
    <s v="Dec"/>
    <d v="2025-12-10T00:00:00"/>
    <n v="174570"/>
    <n v="7"/>
    <n v="11"/>
    <s v="Pending"/>
    <x v="2"/>
    <n v="52"/>
    <x v="2"/>
    <n v="330570"/>
  </r>
  <r>
    <s v="Sri World"/>
    <s v="Babubarhi Ghat"/>
    <x v="4"/>
    <n v="2329060"/>
    <s v="Dec"/>
    <d v="2025-12-02T00:00:00"/>
    <n v="2233130"/>
    <s v="Dec"/>
    <d v="2025-12-27T00:00:00"/>
    <n v="95930"/>
    <n v="2"/>
    <n v="2"/>
    <s v="Pending"/>
    <x v="3"/>
    <n v="35"/>
    <x v="0"/>
    <m/>
  </r>
  <r>
    <s v="Vikash Telecom"/>
    <s v="Bisfi Ward 7"/>
    <x v="0"/>
    <n v="1232910"/>
    <s v="Dec"/>
    <d v="2025-12-07T00:00:00"/>
    <n v="1031230"/>
    <s v="Jan"/>
    <d v="2026-01-02T00:00:00"/>
    <n v="201680"/>
    <n v="6"/>
    <n v="4"/>
    <s v="Pending"/>
    <x v="0"/>
    <n v="29"/>
    <x v="0"/>
    <m/>
  </r>
  <r>
    <s v="Sri Hub"/>
    <s v="Jhanjharpur"/>
    <x v="7"/>
    <n v="1803480"/>
    <s v="Jan"/>
    <d v="2026-01-26T00:00:00"/>
    <n v="1731870"/>
    <s v="Jan"/>
    <d v="2026-01-13T00:00:00"/>
    <n v="71610"/>
    <n v="6"/>
    <n v="3"/>
    <s v="Pending"/>
    <x v="3"/>
    <n v="18"/>
    <x v="0"/>
    <m/>
  </r>
  <r>
    <s v="Saraswati Mobile"/>
    <s v="Main Pindaruch"/>
    <x v="7"/>
    <n v="1516010"/>
    <s v="Dec"/>
    <d v="2025-12-16T00:00:00"/>
    <n v="1376050"/>
    <s v="Dec"/>
    <d v="2025-12-18T00:00:00"/>
    <n v="139960"/>
    <n v="5"/>
    <n v="1"/>
    <s v="Pending"/>
    <x v="2"/>
    <n v="44"/>
    <x v="0"/>
    <m/>
  </r>
  <r>
    <s v="Sri Communication"/>
    <s v="Old Kathalbari"/>
    <x v="5"/>
    <n v="1954030"/>
    <s v="Nov"/>
    <d v="2025-11-29T00:00:00"/>
    <n v="1871480"/>
    <s v="Jan"/>
    <d v="2026-01-19T00:00:00"/>
    <n v="82550"/>
    <n v="5"/>
    <n v="2"/>
    <s v="Pending"/>
    <x v="3"/>
    <n v="12"/>
    <x v="0"/>
    <m/>
  </r>
  <r>
    <s v="Rakesh Centre"/>
    <s v="Mangrauni Ward 10"/>
    <x v="7"/>
    <n v="1402040"/>
    <s v="Jan"/>
    <d v="2026-01-06T00:00:00"/>
    <n v="1285760"/>
    <s v="Jan"/>
    <d v="2026-01-11T00:00:00"/>
    <n v="116280"/>
    <n v="1"/>
    <n v="2"/>
    <s v="Pending"/>
    <x v="2"/>
    <n v="20"/>
    <x v="0"/>
    <m/>
  </r>
  <r>
    <s v="Kishor Electronics"/>
    <s v="Lakhnaur, Madhubani"/>
    <x v="4"/>
    <n v="10890"/>
    <s v="Jan"/>
    <d v="2026-01-08T00:00:00"/>
    <n v="7730"/>
    <s v="Nov"/>
    <d v="2025-11-12T00:00:00"/>
    <n v="3160"/>
    <n v="3"/>
    <n v="2"/>
    <s v="Pending"/>
    <x v="4"/>
    <n v="80"/>
    <x v="1"/>
    <n v="243160"/>
  </r>
  <r>
    <s v="Raj Zone"/>
    <s v="Benipur"/>
    <x v="7"/>
    <n v="2255980"/>
    <s v="Nov"/>
    <d v="2025-11-24T00:00:00"/>
    <n v="2080460"/>
    <s v="Dec"/>
    <d v="2025-12-27T00:00:00"/>
    <n v="175520"/>
    <n v="1"/>
    <n v="4"/>
    <s v="Pending"/>
    <x v="2"/>
    <n v="35"/>
    <x v="0"/>
    <m/>
  </r>
  <r>
    <s v="Anjali Gallery"/>
    <s v="Ranipur, Station Road"/>
    <x v="4"/>
    <n v="1202430"/>
    <s v="Dec"/>
    <d v="2025-12-19T00:00:00"/>
    <n v="983580"/>
    <s v="Nov"/>
    <d v="2025-11-27T00:00:00"/>
    <n v="218850"/>
    <n v="4"/>
    <n v="4"/>
    <s v="Pending"/>
    <x v="0"/>
    <n v="65"/>
    <x v="2"/>
    <n v="413850"/>
  </r>
  <r>
    <s v="Raj Watch"/>
    <s v="Ratanpur, Madhubani"/>
    <x v="7"/>
    <n v="153930"/>
    <s v="Dec"/>
    <d v="2025-12-12T00:00:00"/>
    <n v="140900"/>
    <s v="Jan"/>
    <d v="2026-01-05T00:00:00"/>
    <n v="13030"/>
    <n v="2"/>
    <n v="4"/>
    <s v="Pending"/>
    <x v="4"/>
    <n v="26"/>
    <x v="0"/>
    <m/>
  </r>
  <r>
    <s v="Nand Vision"/>
    <s v="Shankarpur"/>
    <x v="7"/>
    <n v="193650"/>
    <s v="Nov"/>
    <d v="2025-11-18T00:00:00"/>
    <n v="183070"/>
    <s v="Jan"/>
    <d v="2026-01-05T00:00:00"/>
    <n v="10580"/>
    <n v="1"/>
    <n v="3"/>
    <s v="Pending"/>
    <x v="4"/>
    <n v="26"/>
    <x v="0"/>
    <n v="88580"/>
  </r>
  <r>
    <s v="Sufiyan"/>
    <s v="Alinagar"/>
    <x v="5"/>
    <n v="65670"/>
    <s v="Jan"/>
    <d v="2026-01-30T00:00:00"/>
    <n v="24000"/>
    <s v="Nov"/>
    <d v="2025-11-15T00:00:00"/>
    <n v="41670"/>
    <n v="0"/>
    <n v="4"/>
    <s v="Pending"/>
    <x v="3"/>
    <n v="77"/>
    <x v="1"/>
    <m/>
  </r>
  <r>
    <s v="Mithila Roy Agency"/>
    <s v="North Keoti"/>
    <x v="7"/>
    <n v="160940"/>
    <s v="Jan"/>
    <d v="2026-01-25T00:00:00"/>
    <n v="134740"/>
    <s v="Jan"/>
    <d v="2026-01-31T00:00:00"/>
    <n v="26200"/>
    <n v="6"/>
    <n v="4"/>
    <s v="Pending"/>
    <x v="4"/>
    <n v="0"/>
    <x v="0"/>
    <n v="26200"/>
  </r>
  <r>
    <s v="Madhav Sales"/>
    <s v="Manigachhi, Hospital Road"/>
    <x v="4"/>
    <n v="1699410"/>
    <s v="Dec"/>
    <d v="2025-12-02T00:00:00"/>
    <n v="1556280"/>
    <s v="Nov"/>
    <d v="2025-11-26T00:00:00"/>
    <n v="143130"/>
    <n v="4"/>
    <n v="3"/>
    <s v="Pending"/>
    <x v="2"/>
    <n v="66"/>
    <x v="2"/>
    <n v="341130"/>
  </r>
  <r>
    <s v="Mithila Care"/>
    <s v="Belwaganj, Near High School"/>
    <x v="7"/>
    <n v="104700"/>
    <s v="Nov"/>
    <d v="2025-11-27T00:00:00"/>
    <n v="91230"/>
    <s v="Dec"/>
    <d v="2025-12-26T00:00:00"/>
    <n v="13470"/>
    <n v="5"/>
    <n v="1"/>
    <s v="Pending"/>
    <x v="4"/>
    <n v="36"/>
    <x v="0"/>
    <n v="121470"/>
  </r>
  <r>
    <s v="Mahesh Agency"/>
    <s v="Kusheshwar Asthan, Near High School"/>
    <x v="7"/>
    <n v="2469070"/>
    <s v="Dec"/>
    <d v="2025-12-28T00:00:00"/>
    <n v="2364000"/>
    <s v="Nov"/>
    <d v="2025-11-13T00:00:00"/>
    <n v="105070"/>
    <n v="6"/>
    <n v="3"/>
    <s v="Pending"/>
    <x v="2"/>
    <n v="79"/>
    <x v="1"/>
    <n v="342070"/>
  </r>
  <r>
    <s v="Amit Connect"/>
    <s v="Muzaffarpur Road,  Mandir"/>
    <x v="6"/>
    <n v="2150930"/>
    <s v="Dec"/>
    <d v="2025-12-17T00:00:00"/>
    <n v="1990920"/>
    <s v="Nov"/>
    <d v="2025-11-15T00:00:00"/>
    <n v="160010"/>
    <n v="3"/>
    <n v="2"/>
    <s v="Pending"/>
    <x v="2"/>
    <n v="77"/>
    <x v="1"/>
    <n v="391010"/>
  </r>
  <r>
    <s v="Madhav Agency Shop"/>
    <s v="Lakhnaur Asthan"/>
    <x v="7"/>
    <n v="122570"/>
    <s v="Nov"/>
    <d v="2025-11-15T00:00:00"/>
    <n v="95070"/>
    <s v="Dec"/>
    <d v="2025-12-05T00:00:00"/>
    <n v="27500"/>
    <n v="6"/>
    <n v="3"/>
    <s v="Pending"/>
    <x v="4"/>
    <n v="57"/>
    <x v="2"/>
    <n v="198500"/>
  </r>
  <r>
    <s v="Priya Connect"/>
    <s v="New Jhanjharpur Rs"/>
    <x v="4"/>
    <n v="2396700"/>
    <s v="Dec"/>
    <d v="2025-12-07T00:00:00"/>
    <n v="2106110"/>
    <s v="Jan"/>
    <d v="2026-01-28T00:00:00"/>
    <n v="290590"/>
    <n v="5"/>
    <n v="2"/>
    <s v="Pending"/>
    <x v="0"/>
    <n v="3"/>
    <x v="0"/>
    <m/>
  </r>
  <r>
    <s v="Kosi Sales"/>
    <s v="Shankarpur, Madhubani"/>
    <x v="7"/>
    <n v="2072050"/>
    <s v="Jan"/>
    <d v="2026-01-19T00:00:00"/>
    <n v="1929290"/>
    <s v="Jan"/>
    <d v="2026-01-25T00:00:00"/>
    <n v="142760"/>
    <n v="2"/>
    <n v="2"/>
    <s v="Pending"/>
    <x v="2"/>
    <n v="6"/>
    <x v="0"/>
    <n v="160760"/>
  </r>
  <r>
    <s v="Kishor World"/>
    <s v="Laheriasarai Ward 6"/>
    <x v="7"/>
    <n v="246090"/>
    <s v="Dec"/>
    <d v="2025-12-12T00:00:00"/>
    <n v="240950"/>
    <s v="Dec"/>
    <d v="2025-12-29T00:00:00"/>
    <n v="5140"/>
    <n v="4"/>
    <n v="4"/>
    <s v="Pending"/>
    <x v="4"/>
    <n v="33"/>
    <x v="0"/>
    <n v="104140"/>
  </r>
  <r>
    <s v="Madhav Thakur Mobile"/>
    <s v="South Shivdhara"/>
    <x v="4"/>
    <n v="18820"/>
    <s v="Dec"/>
    <d v="2025-12-26T00:00:00"/>
    <n v="2800"/>
    <s v="Dec"/>
    <d v="2025-12-11T00:00:00"/>
    <n v="16020"/>
    <n v="1"/>
    <n v="3"/>
    <s v="Pending"/>
    <x v="4"/>
    <n v="51"/>
    <x v="2"/>
    <n v="169020"/>
  </r>
  <r>
    <s v="Kishor Traders"/>
    <s v="Jhanjharpur,  Mandir"/>
    <x v="7"/>
    <n v="1784330"/>
    <s v="Jan"/>
    <d v="2026-01-21T00:00:00"/>
    <n v="1514980"/>
    <s v="Jan"/>
    <d v="2026-01-16T00:00:00"/>
    <n v="269350"/>
    <n v="6"/>
    <n v="2"/>
    <s v="Pending"/>
    <x v="0"/>
    <n v="15"/>
    <x v="0"/>
    <n v="314350"/>
  </r>
  <r>
    <s v="Shyam Centre"/>
    <s v="Bhowara Naka"/>
    <x v="4"/>
    <n v="2300880"/>
    <s v="Nov"/>
    <d v="2025-11-29T00:00:00"/>
    <n v="1970530"/>
    <s v="Jan"/>
    <d v="2026-01-24T00:00:00"/>
    <n v="330350"/>
    <n v="2"/>
    <n v="1"/>
    <s v="Pending"/>
    <x v="0"/>
    <n v="7"/>
    <x v="0"/>
    <m/>
  </r>
  <r>
    <s v="Kishor Agency Electronics"/>
    <s v="Laukaha Ward 9"/>
    <x v="7"/>
    <n v="19960"/>
    <s v="Nov"/>
    <d v="2025-11-25T00:00:00"/>
    <n v="18140"/>
    <s v="Nov"/>
    <d v="2025-11-30T00:00:00"/>
    <n v="1820"/>
    <n v="2"/>
    <n v="3"/>
    <s v="Settled"/>
    <x v="4"/>
    <n v="62"/>
    <x v="2"/>
    <n v="187820"/>
  </r>
  <r>
    <s v="Aayat"/>
    <s v="Alinagar"/>
    <x v="6"/>
    <n v="67000"/>
    <s v="Dec"/>
    <d v="2025-12-13T00:00:00"/>
    <n v="50000"/>
    <s v="Dec"/>
    <d v="2025-12-04T00:00:00"/>
    <n v="17000"/>
    <n v="2"/>
    <n v="1"/>
    <s v="Pending"/>
    <x v="4"/>
    <n v="58"/>
    <x v="2"/>
    <n v="365000"/>
  </r>
  <r>
    <s v="Kali Ji Sales"/>
    <s v="Benipur Ward 6"/>
    <x v="7"/>
    <n v="12510"/>
    <s v="Dec"/>
    <d v="2025-12-28T00:00:00"/>
    <n v="9890"/>
    <s v="Dec"/>
    <d v="2025-12-24T00:00:00"/>
    <n v="2620"/>
    <n v="4"/>
    <n v="3"/>
    <s v="Settled"/>
    <x v="4"/>
    <n v="38"/>
    <x v="0"/>
    <n v="116620"/>
  </r>
  <r>
    <s v="Vivek Communication"/>
    <s v="Tardih"/>
    <x v="6"/>
    <n v="78790"/>
    <s v="Nov"/>
    <d v="2025-11-30T00:00:00"/>
    <n v="24000"/>
    <s v="Dec"/>
    <d v="2025-12-04T00:00:00"/>
    <n v="54790"/>
    <n v="2"/>
    <n v="1"/>
    <s v="Pending"/>
    <x v="3"/>
    <n v="58"/>
    <x v="2"/>
    <m/>
  </r>
  <r>
    <s v="Jai Care"/>
    <s v="Hayaghat, Darbhanga"/>
    <x v="4"/>
    <n v="1724520"/>
    <s v="Dec"/>
    <d v="2025-12-04T00:00:00"/>
    <n v="1375200"/>
    <s v="Dec"/>
    <d v="2025-12-05T00:00:00"/>
    <n v="349320"/>
    <n v="5"/>
    <n v="3"/>
    <s v="Pending"/>
    <x v="0"/>
    <n v="57"/>
    <x v="2"/>
    <n v="520320"/>
  </r>
  <r>
    <s v="Janki Store"/>
    <s v="Main Benipur"/>
    <x v="7"/>
    <n v="227450"/>
    <s v="Dec"/>
    <d v="2025-12-13T00:00:00"/>
    <n v="179950"/>
    <s v="Jan"/>
    <d v="2026-01-30T00:00:00"/>
    <n v="47500"/>
    <n v="1"/>
    <n v="4"/>
    <s v="Pending"/>
    <x v="3"/>
    <n v="1"/>
    <x v="0"/>
    <n v="50500"/>
  </r>
  <r>
    <s v="Pankaj Radio"/>
    <s v="Ranti"/>
    <x v="5"/>
    <n v="211000"/>
    <s v="Dec"/>
    <d v="2025-12-16T00:00:00"/>
    <n v="200000"/>
    <s v="Nov"/>
    <d v="2025-11-12T00:00:00"/>
    <n v="11000"/>
    <n v="2"/>
    <n v="2"/>
    <s v="Pending"/>
    <x v="4"/>
    <n v="80"/>
    <x v="1"/>
    <m/>
  </r>
  <r>
    <s v="Nand Choudhary Watch"/>
    <s v="Hospital Road, Near High School"/>
    <x v="4"/>
    <n v="2116520"/>
    <s v="Jan"/>
    <d v="2026-01-25T00:00:00"/>
    <n v="1731840"/>
    <s v="Jan"/>
    <d v="2026-01-17T00:00:00"/>
    <n v="384680"/>
    <n v="4"/>
    <n v="8"/>
    <s v="Pending"/>
    <x v="1"/>
    <n v="14"/>
    <x v="0"/>
    <n v="426680"/>
  </r>
  <r>
    <s v="Ganpati Service"/>
    <s v="Kaluahi, Darbhanga"/>
    <x v="7"/>
    <n v="245520"/>
    <s v="Jan"/>
    <d v="2026-01-09T00:00:00"/>
    <n v="205250"/>
    <s v="Jan"/>
    <d v="2026-01-27T00:00:00"/>
    <n v="40270"/>
    <n v="1"/>
    <n v="1"/>
    <s v="Pending"/>
    <x v="3"/>
    <n v="4"/>
    <x v="0"/>
    <n v="52270"/>
  </r>
  <r>
    <s v="Ganpati Radio"/>
    <s v="Sobhan"/>
    <x v="7"/>
    <n v="243250"/>
    <s v="Dec"/>
    <d v="2025-12-01T00:00:00"/>
    <n v="220590"/>
    <s v="Nov"/>
    <d v="2025-11-23T00:00:00"/>
    <n v="22660"/>
    <n v="6"/>
    <n v="3"/>
    <s v="Pending"/>
    <x v="4"/>
    <n v="69"/>
    <x v="2"/>
    <n v="229660"/>
  </r>
  <r>
    <s v="Siddhivinayak Thakur Point"/>
    <s v="Alinagar Ward 15"/>
    <x v="5"/>
    <n v="1256580"/>
    <s v="Nov"/>
    <d v="2025-11-26T00:00:00"/>
    <n v="1091110"/>
    <s v="Dec"/>
    <d v="2025-12-09T00:00:00"/>
    <n v="165470"/>
    <n v="4"/>
    <n v="2"/>
    <s v="Pending"/>
    <x v="2"/>
    <n v="53"/>
    <x v="2"/>
    <m/>
  </r>
  <r>
    <s v="Neha Care"/>
    <s v="Alinagar, Cinema Road"/>
    <x v="5"/>
    <n v="1476360"/>
    <s v="Nov"/>
    <d v="2025-11-18T00:00:00"/>
    <n v="1422080"/>
    <s v="Dec"/>
    <d v="2025-12-18T00:00:00"/>
    <n v="54280"/>
    <n v="5"/>
    <n v="3"/>
    <s v="Pending"/>
    <x v="3"/>
    <n v="44"/>
    <x v="0"/>
    <m/>
  </r>
  <r>
    <s v="Ganpati Agency"/>
    <s v="Kishanpur, Darbhanga"/>
    <x v="7"/>
    <n v="157430"/>
    <s v="Nov"/>
    <d v="2025-11-27T00:00:00"/>
    <n v="130700"/>
    <s v="Dec"/>
    <d v="2025-12-02T00:00:00"/>
    <n v="26730"/>
    <n v="6"/>
    <n v="3"/>
    <s v="Pending"/>
    <x v="4"/>
    <n v="60"/>
    <x v="2"/>
    <n v="206730"/>
  </r>
  <r>
    <s v="Sri Care"/>
    <s v="Saurath Market"/>
    <x v="4"/>
    <n v="1337040"/>
    <s v="Jan"/>
    <d v="2026-01-17T00:00:00"/>
    <n v="1069310"/>
    <s v="Dec"/>
    <d v="2025-12-05T00:00:00"/>
    <n v="267730"/>
    <n v="3"/>
    <n v="2"/>
    <s v="Pending"/>
    <x v="0"/>
    <n v="57"/>
    <x v="2"/>
    <m/>
  </r>
  <r>
    <s v="Siddhivinayak Electronics"/>
    <s v="West Hayaghat"/>
    <x v="6"/>
    <n v="1696110"/>
    <s v="Dec"/>
    <d v="2025-12-23T00:00:00"/>
    <n v="1497430"/>
    <s v="Jan"/>
    <d v="2026-01-09T00:00:00"/>
    <n v="198680"/>
    <n v="1"/>
    <n v="2"/>
    <s v="Pending"/>
    <x v="2"/>
    <n v="22"/>
    <x v="0"/>
    <m/>
  </r>
  <r>
    <s v="Ganesh Watch"/>
    <s v="Biraul Ghat"/>
    <x v="7"/>
    <n v="138860"/>
    <s v="Jan"/>
    <d v="2026-01-12T00:00:00"/>
    <n v="126390"/>
    <s v="Jan"/>
    <d v="2026-01-19T00:00:00"/>
    <n v="12470"/>
    <n v="6"/>
    <n v="4"/>
    <s v="Pending"/>
    <x v="4"/>
    <n v="12"/>
    <x v="0"/>
    <n v="48470"/>
  </r>
  <r>
    <s v="Bholenath Radio"/>
    <s v="Benta, Near High School"/>
    <x v="7"/>
    <n v="237500"/>
    <s v="Jan"/>
    <d v="2026-01-03T00:00:00"/>
    <n v="220710"/>
    <s v="Nov"/>
    <d v="2025-11-15T00:00:00"/>
    <n v="16790"/>
    <n v="4"/>
    <n v="2"/>
    <s v="Pending"/>
    <x v="4"/>
    <n v="77"/>
    <x v="1"/>
    <n v="247790"/>
  </r>
  <r>
    <s v="Bholenath Digital"/>
    <s v="Bakerganj Ward 13"/>
    <x v="7"/>
    <n v="189120"/>
    <s v="Nov"/>
    <d v="2025-11-26T00:00:00"/>
    <n v="165220"/>
    <s v="Jan"/>
    <d v="2026-01-25T00:00:00"/>
    <n v="23900"/>
    <n v="6"/>
    <n v="1"/>
    <s v="Pending"/>
    <x v="4"/>
    <n v="6"/>
    <x v="0"/>
    <n v="41900"/>
  </r>
  <r>
    <s v="Aryan Zone"/>
    <s v="Jhanjharpur, Cinema Road"/>
    <x v="7"/>
    <n v="118000"/>
    <s v="Nov"/>
    <d v="2025-11-26T00:00:00"/>
    <n v="100000"/>
    <s v="Dec"/>
    <d v="2025-12-12T00:00:00"/>
    <n v="18000"/>
    <n v="1"/>
    <n v="4"/>
    <s v="Pending"/>
    <x v="4"/>
    <n v="50"/>
    <x v="2"/>
    <n v="168000"/>
  </r>
  <r>
    <s v="Bala Ji"/>
    <s v="Khahauli"/>
    <x v="6"/>
    <n v="12980"/>
    <s v="Dec"/>
    <d v="2025-12-07T00:00:00"/>
    <n v="2800"/>
    <s v="Dec"/>
    <d v="2025-12-24T00:00:00"/>
    <n v="10180"/>
    <n v="1"/>
    <n v="1"/>
    <s v="Pending"/>
    <x v="4"/>
    <n v="38"/>
    <x v="0"/>
    <n v="124180"/>
  </r>
  <r>
    <s v="Raja Sahu Vision"/>
    <s v="Madhepur, Madhubani"/>
    <x v="5"/>
    <n v="184490"/>
    <s v="Dec"/>
    <d v="2025-12-26T00:00:00"/>
    <n v="156490"/>
    <s v="Jan"/>
    <d v="2026-01-04T00:00:00"/>
    <n v="28000"/>
    <n v="3"/>
    <n v="3"/>
    <s v="Pending"/>
    <x v="4"/>
    <n v="27"/>
    <x v="0"/>
    <m/>
  </r>
  <r>
    <s v="Anjali Mobile"/>
    <s v="Tower Chowk Ward 2"/>
    <x v="7"/>
    <n v="22800"/>
    <s v="Nov"/>
    <d v="2025-11-11T00:00:00"/>
    <n v="22200"/>
    <s v="Jan"/>
    <d v="2026-01-25T00:00:00"/>
    <n v="600"/>
    <n v="1"/>
    <n v="1"/>
    <s v="Settled"/>
    <x v="4"/>
    <n v="6"/>
    <x v="0"/>
    <n v="18600"/>
  </r>
  <r>
    <s v="Madhu Electric"/>
    <s v="Benipur"/>
    <x v="6"/>
    <n v="199400"/>
    <s v="Nov"/>
    <d v="2025-11-27T00:00:00"/>
    <n v="90000"/>
    <s v="Dec"/>
    <d v="2025-12-10T00:00:00"/>
    <n v="109400"/>
    <n v="0"/>
    <n v="2"/>
    <s v="Pending"/>
    <x v="2"/>
    <n v="52"/>
    <x v="2"/>
    <n v="265400"/>
  </r>
  <r>
    <s v="Raj Electronics Supaul"/>
    <s v="Supaul"/>
    <x v="5"/>
    <n v="65470"/>
    <s v="Jan"/>
    <d v="2026-01-14T00:00:00"/>
    <n v="10000"/>
    <s v="Jan"/>
    <d v="2026-01-01T00:00:00"/>
    <n v="55470"/>
    <n v="1"/>
    <n v="3"/>
    <s v="Pending"/>
    <x v="3"/>
    <n v="30"/>
    <x v="0"/>
    <m/>
  </r>
  <r>
    <s v="Aditya Mobile"/>
    <s v="Sarisab Pahi, Near High School"/>
    <x v="7"/>
    <n v="12500"/>
    <s v="Dec"/>
    <d v="2025-12-05T00:00:00"/>
    <n v="4000"/>
    <s v="Jan"/>
    <d v="2026-01-13T00:00:00"/>
    <n v="8500"/>
    <n v="1"/>
    <n v="1"/>
    <s v="Pending"/>
    <x v="4"/>
    <n v="18"/>
    <x v="0"/>
    <n v="62500"/>
  </r>
  <r>
    <s v="Vijendra"/>
    <s v="Babubarhi"/>
    <x v="6"/>
    <n v="79700"/>
    <s v="Dec"/>
    <d v="2025-12-22T00:00:00"/>
    <n v="60000"/>
    <s v="Dec"/>
    <d v="2025-12-21T00:00:00"/>
    <n v="19700"/>
    <n v="2"/>
    <n v="1"/>
    <s v="Pending"/>
    <x v="4"/>
    <n v="41"/>
    <x v="0"/>
    <m/>
  </r>
  <r>
    <s v="Bechan Silai Machine"/>
    <s v="Sakatpur"/>
    <x v="6"/>
    <n v="170000"/>
    <s v="Nov"/>
    <d v="2025-11-28T00:00:00"/>
    <n v="120000"/>
    <s v="Dec"/>
    <d v="2025-12-04T00:00:00"/>
    <n v="50000"/>
    <n v="4"/>
    <n v="3"/>
    <s v="Pending"/>
    <x v="3"/>
    <n v="58"/>
    <x v="2"/>
    <n v="224000"/>
  </r>
  <r>
    <s v="Puja Telecom"/>
    <s v="Bengra, Darbhanga"/>
    <x v="5"/>
    <n v="1897950"/>
    <s v="Nov"/>
    <d v="2025-11-26T00:00:00"/>
    <n v="1826830"/>
    <s v="Nov"/>
    <d v="2025-11-20T00:00:00"/>
    <n v="71120"/>
    <n v="3"/>
    <n v="3"/>
    <s v="Pending"/>
    <x v="3"/>
    <n v="72"/>
    <x v="2"/>
    <m/>
  </r>
  <r>
    <s v="Jyoti Communication"/>
    <s v="Saurath Asthan"/>
    <x v="4"/>
    <n v="2196560"/>
    <s v="Nov"/>
    <d v="2025-11-23T00:00:00"/>
    <n v="2047430"/>
    <s v="Dec"/>
    <d v="2025-12-29T00:00:00"/>
    <n v="149130"/>
    <n v="6"/>
    <n v="3"/>
    <s v="Pending"/>
    <x v="2"/>
    <n v="33"/>
    <x v="0"/>
    <n v="248130"/>
  </r>
  <r>
    <s v="Durga Yadav Shop"/>
    <s v="Lakhnaur Ward 6"/>
    <x v="6"/>
    <n v="2229100"/>
    <s v="Dec"/>
    <d v="2025-12-07T00:00:00"/>
    <n v="1960200"/>
    <s v="Nov"/>
    <d v="2025-11-10T00:00:00"/>
    <n v="268900"/>
    <n v="1"/>
    <n v="3"/>
    <s v="Pending"/>
    <x v="0"/>
    <n v="82"/>
    <x v="1"/>
    <n v="514900"/>
  </r>
  <r>
    <s v="Suresh Centre"/>
    <s v="Donar"/>
    <x v="4"/>
    <n v="2273980"/>
    <s v="Nov"/>
    <d v="2025-11-21T00:00:00"/>
    <n v="2122050"/>
    <s v="Dec"/>
    <d v="2025-12-21T00:00:00"/>
    <n v="151930"/>
    <n v="9"/>
    <n v="3"/>
    <s v="Pending"/>
    <x v="2"/>
    <n v="41"/>
    <x v="0"/>
    <m/>
  </r>
  <r>
    <s v="Natwar Enterprise"/>
    <s v="Shivnaharghat"/>
    <x v="5"/>
    <n v="159000"/>
    <s v="Dec"/>
    <d v="2025-12-27T00:00:00"/>
    <n v="89380"/>
    <s v="Jan"/>
    <d v="2026-01-24T00:00:00"/>
    <n v="69620"/>
    <n v="4"/>
    <n v="4"/>
    <s v="Pending"/>
    <x v="3"/>
    <n v="7"/>
    <x v="0"/>
    <m/>
  </r>
  <r>
    <s v="Jyoti Singh Mobile"/>
    <s v="Bisfi Ward 6"/>
    <x v="6"/>
    <n v="2326920"/>
    <s v="Jan"/>
    <d v="2026-01-21T00:00:00"/>
    <n v="2171320"/>
    <s v="Dec"/>
    <d v="2025-12-02T00:00:00"/>
    <n v="155600"/>
    <n v="11"/>
    <n v="14"/>
    <s v="Pending"/>
    <x v="2"/>
    <n v="60"/>
    <x v="2"/>
    <n v="335600"/>
  </r>
  <r>
    <s v="Sumit Zone"/>
    <s v="Bharwara Ward 1"/>
    <x v="6"/>
    <n v="12100"/>
    <s v="Jan"/>
    <d v="2026-01-03T00:00:00"/>
    <n v="10340"/>
    <s v="Jan"/>
    <d v="2026-01-31T00:00:00"/>
    <n v="1760"/>
    <n v="1"/>
    <n v="2"/>
    <s v="Settled"/>
    <x v="4"/>
    <n v="0"/>
    <x v="0"/>
    <m/>
  </r>
  <r>
    <s v="Saraswati Care"/>
    <s v="Jale"/>
    <x v="4"/>
    <n v="1930390"/>
    <s v="Dec"/>
    <d v="2025-12-02T00:00:00"/>
    <n v="1801460"/>
    <s v="Dec"/>
    <d v="2025-12-01T00:00:00"/>
    <n v="128930"/>
    <n v="2"/>
    <n v="4"/>
    <s v="Pending"/>
    <x v="2"/>
    <n v="61"/>
    <x v="2"/>
    <m/>
  </r>
  <r>
    <s v="Kanak Brothers Traders"/>
    <s v="Khajauli Ward 13"/>
    <x v="6"/>
    <n v="1639830"/>
    <s v="Jan"/>
    <d v="2026-01-19T00:00:00"/>
    <n v="1247130"/>
    <s v="Dec"/>
    <d v="2025-12-15T00:00:00"/>
    <n v="392700"/>
    <n v="5"/>
    <n v="3"/>
    <s v="Pending"/>
    <x v="1"/>
    <n v="47"/>
    <x v="2"/>
    <n v="533700"/>
  </r>
  <r>
    <s v="Sumit Ji Centre"/>
    <s v="Main Saurath"/>
    <x v="4"/>
    <n v="1082080"/>
    <s v="Nov"/>
    <d v="2025-11-12T00:00:00"/>
    <n v="972330"/>
    <s v="Dec"/>
    <d v="2025-12-20T00:00:00"/>
    <n v="109750"/>
    <n v="1"/>
    <n v="1"/>
    <s v="Pending"/>
    <x v="2"/>
    <n v="42"/>
    <x v="0"/>
    <m/>
  </r>
  <r>
    <s v="Siddhivinayak Thakur Store"/>
    <s v="South Khutauna"/>
    <x v="4"/>
    <n v="2337540"/>
    <s v="Nov"/>
    <d v="2025-11-10T00:00:00"/>
    <n v="2018910"/>
    <s v="Nov"/>
    <d v="2025-11-25T00:00:00"/>
    <n v="318630"/>
    <n v="2"/>
    <n v="3"/>
    <s v="Pending"/>
    <x v="0"/>
    <n v="67"/>
    <x v="2"/>
    <m/>
  </r>
  <r>
    <s v="Raju Brothers Gallery"/>
    <s v="Madhepur, Darbhanga"/>
    <x v="5"/>
    <n v="186070"/>
    <s v="Nov"/>
    <d v="2025-11-26T00:00:00"/>
    <n v="183950"/>
    <s v="Dec"/>
    <d v="2025-12-14T00:00:00"/>
    <n v="2120"/>
    <n v="5"/>
    <n v="2"/>
    <s v="Settled"/>
    <x v="4"/>
    <n v="48"/>
    <x v="2"/>
    <m/>
  </r>
  <r>
    <s v="Nand Mobile"/>
    <s v="Bhowara, Darbhanga"/>
    <x v="5"/>
    <n v="1002370"/>
    <s v="Dec"/>
    <d v="2025-12-01T00:00:00"/>
    <n v="736360"/>
    <s v="Jan"/>
    <d v="2026-01-14T00:00:00"/>
    <n v="266010"/>
    <n v="6"/>
    <n v="2"/>
    <s v="Pending"/>
    <x v="0"/>
    <n v="17"/>
    <x v="0"/>
    <n v="317010"/>
  </r>
  <r>
    <s v="Om Electronics"/>
    <s v="Muzaffarpur Road Ward 9"/>
    <x v="4"/>
    <n v="1040690"/>
    <s v="Jan"/>
    <d v="2026-01-20T00:00:00"/>
    <n v="649120"/>
    <s v="Jan"/>
    <d v="2026-01-10T00:00:00"/>
    <n v="391570"/>
    <n v="3"/>
    <n v="4"/>
    <s v="Pending"/>
    <x v="1"/>
    <n v="21"/>
    <x v="0"/>
    <m/>
  </r>
  <r>
    <s v="Shri Ram Electronics"/>
    <s v="Supaul"/>
    <x v="5"/>
    <n v="129000"/>
    <s v="Jan"/>
    <d v="2026-01-19T00:00:00"/>
    <n v="120000"/>
    <s v="Jan"/>
    <d v="2026-01-29T00:00:00"/>
    <n v="9000"/>
    <n v="4"/>
    <n v="4"/>
    <s v="Pending"/>
    <x v="4"/>
    <n v="2"/>
    <x v="0"/>
    <m/>
  </r>
  <r>
    <s v="Kosi Digital"/>
    <s v="Jhanjharpur "/>
    <x v="6"/>
    <n v="14020"/>
    <s v="Dec"/>
    <d v="2025-12-11T00:00:00"/>
    <n v="14000"/>
    <s v="Jan"/>
    <d v="2026-01-21T00:00:00"/>
    <n v="20"/>
    <n v="1"/>
    <n v="1"/>
    <s v="Settled"/>
    <x v="4"/>
    <n v="10"/>
    <x v="0"/>
    <n v="30020"/>
  </r>
  <r>
    <s v="Karak Furniture"/>
    <s v="Bhagwatipur"/>
    <x v="4"/>
    <n v="140000"/>
    <s v="Nov"/>
    <d v="2025-11-25T00:00:00"/>
    <n v="40000"/>
    <s v="Dec"/>
    <d v="2025-12-28T00:00:00"/>
    <n v="100000"/>
    <n v="0"/>
    <n v="1"/>
    <s v="Pending"/>
    <x v="3"/>
    <n v="34"/>
    <x v="0"/>
    <n v="202000"/>
  </r>
  <r>
    <s v="Vatika"/>
    <s v="Supaul"/>
    <x v="5"/>
    <n v="12570"/>
    <s v="Nov"/>
    <d v="2025-11-29T00:00:00"/>
    <n v="5500"/>
    <s v="Jan"/>
    <d v="2026-01-22T00:00:00"/>
    <n v="7070"/>
    <n v="1"/>
    <n v="4"/>
    <s v="Pending"/>
    <x v="4"/>
    <n v="9"/>
    <x v="0"/>
    <m/>
  </r>
  <r>
    <s v="Priya Yadav Centre"/>
    <s v="Sakri, Madhubani"/>
    <x v="5"/>
    <n v="2465580"/>
    <s v="Dec"/>
    <d v="2025-12-11T00:00:00"/>
    <n v="2037210"/>
    <s v="Jan"/>
    <d v="2026-01-06T00:00:00"/>
    <n v="428370"/>
    <n v="3"/>
    <n v="3"/>
    <s v="Pending"/>
    <x v="1"/>
    <n v="25"/>
    <x v="0"/>
    <m/>
  </r>
  <r>
    <s v="Pankaj Agency"/>
    <s v="Gangwara, Hospital Road"/>
    <x v="5"/>
    <n v="1958960"/>
    <s v="Dec"/>
    <d v="2025-12-28T00:00:00"/>
    <n v="1935400"/>
    <s v="Nov"/>
    <d v="2025-11-17T00:00:00"/>
    <n v="23560"/>
    <n v="1"/>
    <n v="2"/>
    <s v="Pending"/>
    <x v="4"/>
    <n v="75"/>
    <x v="2"/>
    <e v="#REF!"/>
  </r>
  <r>
    <s v="Deepak Communication"/>
    <s v="Rajnagar Ward 3"/>
    <x v="6"/>
    <n v="2260900"/>
    <s v="Nov"/>
    <d v="2025-11-18T00:00:00"/>
    <n v="2069930"/>
    <s v="Nov"/>
    <d v="2025-11-21T00:00:00"/>
    <n v="190970"/>
    <n v="5"/>
    <n v="1"/>
    <s v="Pending"/>
    <x v="2"/>
    <n v="71"/>
    <x v="2"/>
    <n v="403970"/>
  </r>
  <r>
    <s v="Bablu Electronics"/>
    <s v="Madhepur"/>
    <x v="4"/>
    <n v="149000"/>
    <s v="Dec"/>
    <d v="2025-12-19T00:00:00"/>
    <n v="100000"/>
    <s v="Dec"/>
    <d v="2025-12-30T00:00:00"/>
    <n v="49000"/>
    <n v="3"/>
    <n v="2"/>
    <s v="Pending"/>
    <x v="3"/>
    <n v="32"/>
    <x v="0"/>
    <n v="145000"/>
  </r>
  <r>
    <s v="Vc Cooler Zahid"/>
    <s v="Mirjapur"/>
    <x v="6"/>
    <n v="65670"/>
    <s v="Dec"/>
    <d v="2025-12-23T00:00:00"/>
    <n v="37000"/>
    <s v="Jan"/>
    <d v="2026-01-29T00:00:00"/>
    <n v="28670"/>
    <n v="1"/>
    <n v="4"/>
    <s v="Pending"/>
    <x v="4"/>
    <n v="2"/>
    <x v="0"/>
    <m/>
  </r>
  <r>
    <s v="Raja Choudhary Agency"/>
    <s v="Madhubani, Darbhanga"/>
    <x v="5"/>
    <n v="1344340"/>
    <s v="Nov"/>
    <d v="2025-11-23T00:00:00"/>
    <n v="1017210"/>
    <s v="Dec"/>
    <d v="2025-12-27T00:00:00"/>
    <n v="327130"/>
    <n v="2"/>
    <n v="1"/>
    <s v="Pending"/>
    <x v="0"/>
    <n v="35"/>
    <x v="0"/>
    <m/>
  </r>
  <r>
    <s v="Raja Enterprises"/>
    <s v="North Narahiya"/>
    <x v="5"/>
    <n v="1317850"/>
    <s v="Dec"/>
    <d v="2025-12-28T00:00:00"/>
    <n v="999050"/>
    <s v="Nov"/>
    <d v="2025-11-23T00:00:00"/>
    <n v="318800"/>
    <n v="2"/>
    <n v="4"/>
    <s v="Pending"/>
    <x v="0"/>
    <n v="69"/>
    <x v="2"/>
    <m/>
  </r>
  <r>
    <s v="City Mobile"/>
    <s v="Hajipur"/>
    <x v="6"/>
    <n v="890000"/>
    <s v="Nov"/>
    <d v="2025-11-15T00:00:00"/>
    <n v="331610"/>
    <s v="Jan"/>
    <d v="2026-01-31T00:00:00"/>
    <n v="558390"/>
    <n v="8"/>
    <n v="6"/>
    <s v="Pending"/>
    <x v="1"/>
    <n v="0"/>
    <x v="0"/>
    <n v="558390"/>
  </r>
  <r>
    <s v="Gauri Electronics"/>
    <s v="Anhrathari"/>
    <x v="6"/>
    <n v="12890"/>
    <s v="Jan"/>
    <d v="2026-01-25T00:00:00"/>
    <n v="2600"/>
    <s v="Dec"/>
    <d v="2025-12-16T00:00:00"/>
    <n v="10290"/>
    <n v="1"/>
    <n v="1"/>
    <s v="Pending"/>
    <x v="4"/>
    <n v="46"/>
    <x v="2"/>
    <n v="1482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x v="0"/>
    <s v="Benipur Ward 12"/>
    <x v="0"/>
    <n v="1698760"/>
    <x v="0"/>
    <d v="2026-01-21T00:00:00"/>
    <n v="1421160"/>
    <s v="Jan"/>
    <d v="2026-01-02T00:00:00"/>
    <n v="277600"/>
    <n v="2"/>
    <n v="3"/>
    <s v="Pending"/>
    <x v="0"/>
    <n v="28"/>
    <s v="Active"/>
  </r>
  <r>
    <x v="1"/>
    <s v="Beta Road"/>
    <x v="0"/>
    <n v="1548030"/>
    <x v="1"/>
    <d v="2025-11-29T00:00:00"/>
    <n v="1180420"/>
    <s v="Nov"/>
    <d v="2025-11-10T00:00:00"/>
    <n v="367610"/>
    <n v="6"/>
    <n v="3"/>
    <s v="Pending"/>
    <x v="1"/>
    <n v="81"/>
    <s v="Inactive"/>
  </r>
  <r>
    <x v="2"/>
    <s v="West Delhi More"/>
    <x v="0"/>
    <n v="2169330"/>
    <x v="2"/>
    <d v="2025-12-16T00:00:00"/>
    <n v="1634030"/>
    <s v="Dec"/>
    <d v="2025-12-04T00:00:00"/>
    <n v="535300"/>
    <n v="16"/>
    <n v="18"/>
    <s v="Pending"/>
    <x v="1"/>
    <n v="57"/>
    <s v="Moderate"/>
  </r>
  <r>
    <x v="3"/>
    <s v="Lohat Ward 13"/>
    <x v="0"/>
    <n v="2390040"/>
    <x v="2"/>
    <d v="2025-12-26T00:00:00"/>
    <n v="2168980"/>
    <s v="Jan"/>
    <d v="2026-01-11T00:00:00"/>
    <n v="221060"/>
    <n v="3"/>
    <n v="3"/>
    <s v="Pending"/>
    <x v="0"/>
    <n v="19"/>
    <s v="Active"/>
  </r>
  <r>
    <x v="4"/>
    <s v="Main Maulaganj"/>
    <x v="0"/>
    <n v="2445780"/>
    <x v="0"/>
    <d v="2026-01-30T00:00:00"/>
    <n v="2328320"/>
    <s v="Jan"/>
    <d v="2026-01-12T00:00:00"/>
    <n v="117460"/>
    <n v="6"/>
    <n v="2"/>
    <s v="Pending"/>
    <x v="2"/>
    <n v="18"/>
    <s v="Active"/>
  </r>
  <r>
    <x v="5"/>
    <s v="Jale, Cinema Road"/>
    <x v="0"/>
    <n v="1443180"/>
    <x v="0"/>
    <d v="2026-01-02T00:00:00"/>
    <n v="1144740"/>
    <s v="Jan"/>
    <d v="2026-01-11T00:00:00"/>
    <n v="298440"/>
    <n v="6"/>
    <n v="2"/>
    <s v="Pending"/>
    <x v="0"/>
    <n v="19"/>
    <s v="Active"/>
  </r>
  <r>
    <x v="6"/>
    <s v="Jhanjharpur Ward 12"/>
    <x v="0"/>
    <n v="1355580"/>
    <x v="2"/>
    <d v="2025-12-16T00:00:00"/>
    <n v="1260400"/>
    <s v="Nov"/>
    <d v="2025-11-21T00:00:00"/>
    <n v="95180"/>
    <n v="1"/>
    <n v="3"/>
    <s v="Pending"/>
    <x v="3"/>
    <n v="70"/>
    <s v="Moderate"/>
  </r>
  <r>
    <x v="7"/>
    <s v="Tardih"/>
    <x v="0"/>
    <n v="2100470"/>
    <x v="1"/>
    <d v="2025-11-20T00:00:00"/>
    <n v="1951520"/>
    <s v="Nov"/>
    <d v="2025-11-12T00:00:00"/>
    <n v="148950"/>
    <n v="4"/>
    <n v="4"/>
    <s v="Pending"/>
    <x v="2"/>
    <n v="79"/>
    <s v="Inactive"/>
  </r>
  <r>
    <x v="8"/>
    <s v="Main Warishnagar"/>
    <x v="0"/>
    <n v="1122570"/>
    <x v="2"/>
    <d v="2025-12-27T00:00:00"/>
    <n v="714630"/>
    <s v="Jan"/>
    <d v="2026-01-26T00:00:00"/>
    <n v="407940"/>
    <n v="6"/>
    <n v="4"/>
    <s v="Pending"/>
    <x v="1"/>
    <n v="4"/>
    <s v="Active"/>
  </r>
  <r>
    <x v="9"/>
    <s v="East Benta"/>
    <x v="0"/>
    <n v="1882220"/>
    <x v="1"/>
    <d v="2025-11-24T00:00:00"/>
    <n v="1769940"/>
    <s v="Nov"/>
    <d v="2025-11-19T00:00:00"/>
    <n v="112280"/>
    <n v="1"/>
    <n v="1"/>
    <s v="Pending"/>
    <x v="2"/>
    <n v="72"/>
    <s v="Moderate"/>
  </r>
  <r>
    <x v="10"/>
    <s v="Biraul, Near High School"/>
    <x v="0"/>
    <n v="126530"/>
    <x v="1"/>
    <d v="2025-11-18T00:00:00"/>
    <n v="98930"/>
    <s v="Nov"/>
    <d v="2025-11-29T00:00:00"/>
    <n v="27600"/>
    <n v="5"/>
    <n v="2"/>
    <s v="Pending"/>
    <x v="4"/>
    <n v="62"/>
    <s v="Moderate"/>
  </r>
  <r>
    <x v="11"/>
    <s v="Jhanjharpur"/>
    <x v="1"/>
    <n v="666570"/>
    <x v="0"/>
    <d v="2026-01-10T00:00:00"/>
    <n v="200000"/>
    <s v="Jan"/>
    <d v="2026-01-13T00:00:00"/>
    <n v="466570"/>
    <n v="4"/>
    <n v="3"/>
    <s v="Pending"/>
    <x v="1"/>
    <n v="17"/>
    <s v="Active"/>
  </r>
  <r>
    <x v="12"/>
    <s v="Supaul Bazar Chowk"/>
    <x v="1"/>
    <n v="1006280"/>
    <x v="0"/>
    <d v="2026-01-03T00:00:00"/>
    <n v="669480"/>
    <s v="Dec"/>
    <d v="2025-12-29T00:00:00"/>
    <n v="336800"/>
    <n v="7"/>
    <n v="3"/>
    <s v="Pending"/>
    <x v="0"/>
    <n v="32"/>
    <s v="Active"/>
  </r>
  <r>
    <x v="13"/>
    <s v="Tatuaar"/>
    <x v="1"/>
    <n v="45000"/>
    <x v="2"/>
    <d v="2025-12-26T00:00:00"/>
    <n v="8710"/>
    <s v="Dec"/>
    <d v="2025-12-19T00:00:00"/>
    <n v="36290"/>
    <n v="1"/>
    <n v="3"/>
    <s v="Pending"/>
    <x v="3"/>
    <n v="42"/>
    <s v="Active"/>
  </r>
  <r>
    <x v="14"/>
    <s v="South Paithan Kabai"/>
    <x v="1"/>
    <n v="1186650"/>
    <x v="0"/>
    <d v="2026-01-07T00:00:00"/>
    <n v="835910"/>
    <s v="Dec"/>
    <d v="2025-12-18T00:00:00"/>
    <n v="350740"/>
    <n v="6"/>
    <n v="2"/>
    <s v="Pending"/>
    <x v="1"/>
    <n v="43"/>
    <s v="Active"/>
  </r>
  <r>
    <x v="15"/>
    <s v="Bahera"/>
    <x v="1"/>
    <n v="45090"/>
    <x v="1"/>
    <d v="2025-11-18T00:00:00"/>
    <n v="19000"/>
    <s v="Nov"/>
    <d v="2025-11-14T00:00:00"/>
    <n v="26090"/>
    <n v="1"/>
    <n v="1"/>
    <s v="Pending"/>
    <x v="4"/>
    <n v="77"/>
    <s v="Inactive"/>
  </r>
  <r>
    <x v="16"/>
    <s v="Babubarhi"/>
    <x v="1"/>
    <n v="75970"/>
    <x v="1"/>
    <d v="2025-11-23T00:00:00"/>
    <n v="73100"/>
    <s v="Dec"/>
    <d v="2025-12-06T00:00:00"/>
    <n v="2870"/>
    <n v="1"/>
    <n v="2"/>
    <s v="Settled"/>
    <x v="4"/>
    <n v="55"/>
    <s v="Moderate"/>
  </r>
  <r>
    <x v="17"/>
    <s v="Beta Chowk"/>
    <x v="1"/>
    <n v="12000"/>
    <x v="0"/>
    <d v="2026-01-08T00:00:00"/>
    <n v="1200"/>
    <s v="Dec"/>
    <d v="2025-12-11T00:00:00"/>
    <n v="10800"/>
    <n v="1"/>
    <n v="2"/>
    <s v="Pending"/>
    <x v="4"/>
    <n v="50"/>
    <s v="Moderate"/>
  </r>
  <r>
    <x v="18"/>
    <s v="Babubarhi"/>
    <x v="1"/>
    <n v="79800"/>
    <x v="0"/>
    <d v="2026-01-17T00:00:00"/>
    <n v="6700"/>
    <s v="Jan"/>
    <d v="2026-01-22T00:00:00"/>
    <n v="73100"/>
    <n v="1"/>
    <n v="2"/>
    <s v="Pending"/>
    <x v="3"/>
    <n v="8"/>
    <s v="Active"/>
  </r>
  <r>
    <x v="19"/>
    <s v="Babubarhi, Madhubani"/>
    <x v="1"/>
    <n v="1969030"/>
    <x v="1"/>
    <d v="2025-11-23T00:00:00"/>
    <n v="1663040"/>
    <s v="Jan"/>
    <d v="2026-01-15T00:00:00"/>
    <n v="305990"/>
    <n v="2"/>
    <n v="2"/>
    <s v="Pending"/>
    <x v="0"/>
    <n v="15"/>
    <s v="Active"/>
  </r>
  <r>
    <x v="20"/>
    <s v="Main Shivdhara"/>
    <x v="1"/>
    <n v="2335000"/>
    <x v="0"/>
    <d v="2026-01-01T00:00:00"/>
    <n v="2100630"/>
    <s v="Dec"/>
    <d v="2025-12-09T00:00:00"/>
    <n v="234370"/>
    <n v="2"/>
    <n v="4"/>
    <s v="Pending"/>
    <x v="0"/>
    <n v="52"/>
    <s v="Moderate"/>
  </r>
  <r>
    <x v="21"/>
    <s v="Station Road, Darbhanga"/>
    <x v="1"/>
    <n v="14670"/>
    <x v="1"/>
    <d v="2025-11-20T00:00:00"/>
    <n v="10000"/>
    <s v="Nov"/>
    <d v="2025-11-30T00:00:00"/>
    <n v="4670"/>
    <n v="4"/>
    <n v="2"/>
    <s v="Pending"/>
    <x v="4"/>
    <n v="61"/>
    <s v="Moderate"/>
  </r>
  <r>
    <x v="22"/>
    <s v="Anhrathari"/>
    <x v="1"/>
    <n v="56660"/>
    <x v="2"/>
    <d v="2025-12-12T00:00:00"/>
    <n v="50000"/>
    <s v="Dec"/>
    <d v="2025-12-14T00:00:00"/>
    <n v="6660"/>
    <n v="1"/>
    <n v="2"/>
    <s v="Pending"/>
    <x v="4"/>
    <n v="47"/>
    <s v="Moderate"/>
  </r>
  <r>
    <x v="23"/>
    <s v="Supaul Darbhanga"/>
    <x v="1"/>
    <n v="129010"/>
    <x v="0"/>
    <d v="2026-01-16T00:00:00"/>
    <n v="40000"/>
    <s v="Nov"/>
    <d v="2025-11-21T00:00:00"/>
    <n v="89010"/>
    <n v="3"/>
    <n v="2"/>
    <s v="Pending"/>
    <x v="3"/>
    <n v="70"/>
    <s v="Moderate"/>
  </r>
  <r>
    <x v="24"/>
    <s v="Ekmi"/>
    <x v="1"/>
    <n v="1887270"/>
    <x v="2"/>
    <d v="2025-12-04T00:00:00"/>
    <n v="1870200"/>
    <s v="Jan"/>
    <d v="2026-01-14T00:00:00"/>
    <n v="17070"/>
    <n v="3"/>
    <n v="1"/>
    <s v="Pending"/>
    <x v="4"/>
    <n v="16"/>
    <s v="Active"/>
  </r>
  <r>
    <x v="25"/>
    <s v="Basopatti Ward 12"/>
    <x v="1"/>
    <n v="1160280"/>
    <x v="0"/>
    <d v="2026-01-29T00:00:00"/>
    <n v="855240"/>
    <s v="Dec"/>
    <d v="2025-12-09T00:00:00"/>
    <n v="305040"/>
    <n v="5"/>
    <n v="1"/>
    <s v="Pending"/>
    <x v="0"/>
    <n v="52"/>
    <s v="Moderate"/>
  </r>
  <r>
    <x v="26"/>
    <s v="Khutauna Ward 13"/>
    <x v="1"/>
    <n v="2288580"/>
    <x v="2"/>
    <d v="2025-12-05T00:00:00"/>
    <n v="1863300"/>
    <s v="Dec"/>
    <d v="2025-12-04T00:00:00"/>
    <n v="425280"/>
    <n v="4"/>
    <n v="2"/>
    <s v="Pending"/>
    <x v="1"/>
    <n v="57"/>
    <s v="Moderate"/>
  </r>
  <r>
    <x v="27"/>
    <s v="Lokha"/>
    <x v="1"/>
    <n v="75640"/>
    <x v="2"/>
    <d v="2025-12-14T00:00:00"/>
    <n v="25000"/>
    <s v="Dec"/>
    <d v="2025-12-01T00:00:00"/>
    <n v="50640"/>
    <n v="0"/>
    <n v="1"/>
    <s v="Pending"/>
    <x v="3"/>
    <n v="60"/>
    <s v="Moderate"/>
  </r>
  <r>
    <x v="28"/>
    <s v="Sakri "/>
    <x v="1"/>
    <n v="365440"/>
    <x v="0"/>
    <d v="2026-01-04T00:00:00"/>
    <n v="45000"/>
    <s v="Jan"/>
    <d v="2026-01-16T00:00:00"/>
    <n v="320440"/>
    <n v="4"/>
    <n v="6"/>
    <s v="Pending"/>
    <x v="0"/>
    <n v="14"/>
    <s v="Active"/>
  </r>
  <r>
    <x v="29"/>
    <s v="Nehra Ward 15"/>
    <x v="1"/>
    <n v="12750"/>
    <x v="0"/>
    <d v="2026-01-18T00:00:00"/>
    <n v="5000"/>
    <s v="Jan"/>
    <d v="2026-01-28T00:00:00"/>
    <n v="7750"/>
    <n v="0"/>
    <n v="4"/>
    <s v="Pending"/>
    <x v="4"/>
    <n v="2"/>
    <s v="Active"/>
  </r>
  <r>
    <x v="30"/>
    <s v="Lokhi"/>
    <x v="1"/>
    <n v="53790"/>
    <x v="0"/>
    <d v="2026-01-18T00:00:00"/>
    <n v="7600"/>
    <s v="Dec"/>
    <d v="2025-12-29T00:00:00"/>
    <n v="46190"/>
    <n v="0"/>
    <n v="4"/>
    <s v="Pending"/>
    <x v="3"/>
    <n v="32"/>
    <s v="Active"/>
  </r>
  <r>
    <x v="31"/>
    <s v="West Kadirabad"/>
    <x v="2"/>
    <n v="2437020"/>
    <x v="0"/>
    <d v="2026-01-15T00:00:00"/>
    <n v="2292770"/>
    <s v="Dec"/>
    <d v="2025-12-11T00:00:00"/>
    <n v="144250"/>
    <n v="5"/>
    <n v="2"/>
    <s v="Pending"/>
    <x v="2"/>
    <n v="50"/>
    <s v="Moderate"/>
  </r>
  <r>
    <x v="32"/>
    <s v="Hospital Road Ward 5"/>
    <x v="2"/>
    <n v="12240"/>
    <x v="2"/>
    <d v="2025-12-07T00:00:00"/>
    <n v="9860"/>
    <s v="Nov"/>
    <d v="2025-11-13T00:00:00"/>
    <n v="2380"/>
    <n v="5"/>
    <n v="1"/>
    <s v="Settled"/>
    <x v="4"/>
    <n v="78"/>
    <s v="Inactive"/>
  </r>
  <r>
    <x v="33"/>
    <s v="Singhwara"/>
    <x v="2"/>
    <n v="10000"/>
    <x v="0"/>
    <d v="2026-01-05T00:00:00"/>
    <n v="2500"/>
    <s v="Nov"/>
    <d v="2025-11-24T00:00:00"/>
    <n v="7500"/>
    <n v="2"/>
    <n v="2"/>
    <s v="Pending"/>
    <x v="4"/>
    <n v="67"/>
    <s v="Moderate"/>
  </r>
  <r>
    <x v="34"/>
    <s v="Pandaul"/>
    <x v="2"/>
    <n v="15190"/>
    <x v="0"/>
    <d v="2026-01-13T00:00:00"/>
    <n v="10000"/>
    <s v="Jan"/>
    <d v="2026-01-09T00:00:00"/>
    <n v="5190"/>
    <n v="3"/>
    <n v="4"/>
    <s v="Pending"/>
    <x v="4"/>
    <n v="21"/>
    <s v="Active"/>
  </r>
  <r>
    <x v="35"/>
    <s v="Saharghat"/>
    <x v="2"/>
    <n v="230000"/>
    <x v="2"/>
    <d v="2025-12-25T00:00:00"/>
    <n v="65000"/>
    <s v="Dec"/>
    <d v="2025-12-01T00:00:00"/>
    <n v="165000"/>
    <n v="4"/>
    <n v="1"/>
    <s v="Pending"/>
    <x v="2"/>
    <n v="60"/>
    <s v="Moderate"/>
  </r>
  <r>
    <x v="36"/>
    <s v="Lohat,  Bank"/>
    <x v="2"/>
    <n v="15000"/>
    <x v="2"/>
    <d v="2025-12-08T00:00:00"/>
    <n v="12000"/>
    <s v="Nov"/>
    <d v="2025-11-18T00:00:00"/>
    <n v="3000"/>
    <n v="1"/>
    <n v="1"/>
    <s v="Settled"/>
    <x v="4"/>
    <n v="73"/>
    <s v="Moderate"/>
  </r>
  <r>
    <x v="37"/>
    <s v="Madhepur"/>
    <x v="2"/>
    <n v="67680"/>
    <x v="2"/>
    <d v="2025-12-03T00:00:00"/>
    <n v="9000"/>
    <s v="Dec"/>
    <d v="2025-12-21T00:00:00"/>
    <n v="58680"/>
    <n v="1"/>
    <n v="1"/>
    <s v="Pending"/>
    <x v="3"/>
    <n v="40"/>
    <s v="Active"/>
  </r>
  <r>
    <x v="38"/>
    <s v="Bharwara"/>
    <x v="2"/>
    <n v="12800"/>
    <x v="0"/>
    <d v="2026-01-17T00:00:00"/>
    <n v="8000"/>
    <s v="Dec"/>
    <d v="2025-12-25T00:00:00"/>
    <n v="4800"/>
    <n v="1"/>
    <n v="1"/>
    <s v="Pending"/>
    <x v="4"/>
    <n v="36"/>
    <s v="Active"/>
  </r>
  <r>
    <x v="39"/>
    <s v="Manigachhi Ward 1"/>
    <x v="2"/>
    <n v="2022840"/>
    <x v="2"/>
    <d v="2025-12-06T00:00:00"/>
    <n v="1756390"/>
    <s v="Nov"/>
    <d v="2025-11-14T00:00:00"/>
    <n v="266450"/>
    <n v="2"/>
    <n v="3"/>
    <s v="Pending"/>
    <x v="0"/>
    <n v="77"/>
    <s v="Inactive"/>
  </r>
  <r>
    <x v="40"/>
    <s v="Beta, Station Road"/>
    <x v="2"/>
    <n v="2440560"/>
    <x v="1"/>
    <d v="2025-11-12T00:00:00"/>
    <n v="2202140"/>
    <s v="Jan"/>
    <d v="2026-01-30T00:00:00"/>
    <n v="238420"/>
    <n v="4"/>
    <n v="1"/>
    <s v="Pending"/>
    <x v="0"/>
    <n v="0"/>
    <s v="Active"/>
  </r>
  <r>
    <x v="41"/>
    <s v="Khutauna"/>
    <x v="2"/>
    <n v="1099020"/>
    <x v="0"/>
    <d v="2026-01-09T00:00:00"/>
    <n v="838650"/>
    <s v="Dec"/>
    <d v="2025-12-01T00:00:00"/>
    <n v="260370"/>
    <n v="6"/>
    <n v="3"/>
    <s v="Pending"/>
    <x v="0"/>
    <n v="60"/>
    <s v="Moderate"/>
  </r>
  <r>
    <x v="42"/>
    <s v="Bakerganj Naka"/>
    <x v="2"/>
    <n v="1201640"/>
    <x v="0"/>
    <d v="2026-01-26T00:00:00"/>
    <n v="1100040"/>
    <s v="Dec"/>
    <d v="2025-12-04T00:00:00"/>
    <n v="101600"/>
    <n v="1"/>
    <n v="4"/>
    <s v="Pending"/>
    <x v="2"/>
    <n v="57"/>
    <s v="Moderate"/>
  </r>
  <r>
    <x v="43"/>
    <s v="Madhepur"/>
    <x v="2"/>
    <n v="245680"/>
    <x v="0"/>
    <d v="2026-01-25T00:00:00"/>
    <n v="50000"/>
    <s v="Jan"/>
    <d v="2026-01-01T00:00:00"/>
    <n v="195680"/>
    <n v="0"/>
    <n v="3"/>
    <s v="Pending"/>
    <x v="2"/>
    <n v="29"/>
    <s v="Active"/>
  </r>
  <r>
    <x v="44"/>
    <s v="Bengra"/>
    <x v="2"/>
    <n v="56580"/>
    <x v="1"/>
    <d v="2025-11-27T00:00:00"/>
    <n v="3000"/>
    <s v="Dec"/>
    <d v="2025-12-04T00:00:00"/>
    <n v="53580"/>
    <n v="0"/>
    <n v="1"/>
    <s v="Pending"/>
    <x v="3"/>
    <n v="57"/>
    <s v="Moderate"/>
  </r>
  <r>
    <x v="45"/>
    <s v="Simri Ward 3"/>
    <x v="2"/>
    <n v="1376520"/>
    <x v="0"/>
    <d v="2026-01-01T00:00:00"/>
    <n v="1051480"/>
    <s v="Jan"/>
    <d v="2026-01-02T00:00:00"/>
    <n v="325040"/>
    <n v="4"/>
    <n v="2"/>
    <s v="Pending"/>
    <x v="0"/>
    <n v="28"/>
    <s v="Active"/>
  </r>
  <r>
    <x v="46"/>
    <s v="Bharwara"/>
    <x v="2"/>
    <n v="7900"/>
    <x v="0"/>
    <d v="2026-01-08T00:00:00"/>
    <n v="5000"/>
    <s v="Dec"/>
    <d v="2025-12-02T00:00:00"/>
    <n v="2900"/>
    <n v="0"/>
    <n v="4"/>
    <s v="Settled"/>
    <x v="4"/>
    <n v="59"/>
    <s v="Moderate"/>
  </r>
  <r>
    <x v="47"/>
    <s v="West Kakraul"/>
    <x v="2"/>
    <n v="1501590"/>
    <x v="1"/>
    <d v="2025-11-20T00:00:00"/>
    <n v="1211450"/>
    <s v="Jan"/>
    <d v="2026-01-23T00:00:00"/>
    <n v="290140"/>
    <n v="4"/>
    <n v="1"/>
    <s v="Pending"/>
    <x v="0"/>
    <n v="7"/>
    <s v="Active"/>
  </r>
  <r>
    <x v="48"/>
    <s v="Ratanpur"/>
    <x v="2"/>
    <n v="97890"/>
    <x v="1"/>
    <d v="2025-11-10T00:00:00"/>
    <n v="15000"/>
    <s v="Jan"/>
    <d v="2026-01-19T00:00:00"/>
    <n v="82890"/>
    <n v="3"/>
    <n v="1"/>
    <s v="Pending"/>
    <x v="3"/>
    <n v="11"/>
    <s v="Active"/>
  </r>
  <r>
    <x v="49"/>
    <s v="Mirzapur, Darbhanga"/>
    <x v="2"/>
    <n v="19540"/>
    <x v="1"/>
    <d v="2025-11-23T00:00:00"/>
    <n v="16000"/>
    <s v="Jan"/>
    <d v="2026-01-23T00:00:00"/>
    <n v="3540"/>
    <n v="2"/>
    <n v="4"/>
    <s v="Pending"/>
    <x v="4"/>
    <n v="7"/>
    <s v="Active"/>
  </r>
  <r>
    <x v="50"/>
    <s v="Belwaganj, Madhubani"/>
    <x v="2"/>
    <n v="1919020"/>
    <x v="0"/>
    <d v="2026-01-10T00:00:00"/>
    <n v="1577220"/>
    <s v="Dec"/>
    <d v="2025-12-21T00:00:00"/>
    <n v="341800"/>
    <n v="7"/>
    <n v="11"/>
    <s v="Pending"/>
    <x v="0"/>
    <n v="40"/>
    <s v="Active"/>
  </r>
  <r>
    <x v="51"/>
    <s v="Ghoghardiha"/>
    <x v="2"/>
    <n v="164400"/>
    <x v="2"/>
    <d v="2025-12-24T00:00:00"/>
    <n v="135400"/>
    <s v="Jan"/>
    <d v="2026-01-29T00:00:00"/>
    <n v="29000"/>
    <n v="3"/>
    <n v="1"/>
    <s v="Pending"/>
    <x v="4"/>
    <n v="1"/>
    <s v="Active"/>
  </r>
  <r>
    <x v="52"/>
    <s v="Dalsingsarai, Madhubani"/>
    <x v="2"/>
    <n v="160060"/>
    <x v="0"/>
    <d v="2026-01-13T00:00:00"/>
    <n v="141140"/>
    <s v="Dec"/>
    <d v="2025-12-30T00:00:00"/>
    <n v="18920"/>
    <n v="11"/>
    <n v="7"/>
    <s v="Pending"/>
    <x v="4"/>
    <n v="31"/>
    <s v="Active"/>
  </r>
  <r>
    <x v="53"/>
    <s v="Gangwara"/>
    <x v="2"/>
    <n v="16830"/>
    <x v="1"/>
    <d v="2025-11-11T00:00:00"/>
    <n v="12000"/>
    <s v="Jan"/>
    <d v="2026-01-25T00:00:00"/>
    <n v="4830"/>
    <n v="3"/>
    <n v="3"/>
    <s v="Pending"/>
    <x v="4"/>
    <n v="5"/>
    <s v="Active"/>
  </r>
  <r>
    <x v="54"/>
    <s v="Hayaghat Bazar"/>
    <x v="2"/>
    <n v="15600"/>
    <x v="1"/>
    <d v="2025-11-25T00:00:00"/>
    <n v="12500"/>
    <s v="Dec"/>
    <d v="2025-12-02T00:00:00"/>
    <n v="3100"/>
    <n v="2"/>
    <n v="3"/>
    <s v="Pending"/>
    <x v="4"/>
    <n v="59"/>
    <s v="Moderate"/>
  </r>
  <r>
    <x v="55"/>
    <s v="Ghoghardiya"/>
    <x v="2"/>
    <n v="1833930"/>
    <x v="2"/>
    <d v="2025-12-06T00:00:00"/>
    <n v="1727400"/>
    <s v="Jan"/>
    <d v="2026-01-25T00:00:00"/>
    <n v="106530"/>
    <n v="2"/>
    <n v="1"/>
    <s v="Pending"/>
    <x v="2"/>
    <n v="5"/>
    <s v="Active"/>
  </r>
  <r>
    <x v="56"/>
    <s v="West Ratanpur"/>
    <x v="2"/>
    <n v="2206270"/>
    <x v="0"/>
    <d v="2026-01-22T00:00:00"/>
    <n v="1917270"/>
    <s v="Dec"/>
    <d v="2025-12-11T00:00:00"/>
    <n v="289000"/>
    <n v="9"/>
    <n v="12"/>
    <s v="Pending"/>
    <x v="0"/>
    <n v="50"/>
    <s v="Moderate"/>
  </r>
  <r>
    <x v="57"/>
    <s v="Phulparas"/>
    <x v="2"/>
    <n v="1466840"/>
    <x v="0"/>
    <d v="2026-01-04T00:00:00"/>
    <n v="1201070"/>
    <s v="Nov"/>
    <d v="2025-11-27T00:00:00"/>
    <n v="265770"/>
    <n v="5"/>
    <n v="2"/>
    <s v="Pending"/>
    <x v="0"/>
    <n v="64"/>
    <s v="Moderate"/>
  </r>
  <r>
    <x v="58"/>
    <s v="Mirzapur Ward 15"/>
    <x v="2"/>
    <n v="241190"/>
    <x v="0"/>
    <d v="2026-01-27T00:00:00"/>
    <n v="208510"/>
    <s v="Nov"/>
    <d v="2025-11-16T00:00:00"/>
    <n v="32680"/>
    <n v="1"/>
    <n v="4"/>
    <s v="Pending"/>
    <x v="3"/>
    <n v="75"/>
    <s v="Moderate"/>
  </r>
  <r>
    <x v="59"/>
    <s v="Jhanjharpur"/>
    <x v="2"/>
    <n v="243210"/>
    <x v="2"/>
    <d v="2025-12-25T00:00:00"/>
    <n v="20230"/>
    <s v="Dec"/>
    <d v="2025-12-15T00:00:00"/>
    <n v="222980"/>
    <n v="4"/>
    <n v="2"/>
    <s v="Pending"/>
    <x v="0"/>
    <n v="46"/>
    <s v="Moderate"/>
  </r>
  <r>
    <x v="60"/>
    <s v="Sakatpur"/>
    <x v="2"/>
    <n v="12400"/>
    <x v="0"/>
    <d v="2026-01-25T00:00:00"/>
    <n v="4100"/>
    <s v="Jan"/>
    <d v="2026-01-31T00:00:00"/>
    <n v="8300"/>
    <n v="1"/>
    <n v="1"/>
    <s v="Pending"/>
    <x v="4"/>
    <n v="-1"/>
    <s v="Active"/>
  </r>
  <r>
    <x v="61"/>
    <s v="Station Road"/>
    <x v="3"/>
    <n v="1677310"/>
    <x v="2"/>
    <d v="2025-12-12T00:00:00"/>
    <n v="1571410"/>
    <s v="Dec"/>
    <d v="2025-12-30T00:00:00"/>
    <n v="105900"/>
    <n v="5"/>
    <n v="1"/>
    <s v="Pending"/>
    <x v="2"/>
    <n v="31"/>
    <s v="Active"/>
  </r>
  <r>
    <x v="62"/>
    <s v="West Station Road"/>
    <x v="3"/>
    <n v="2134090"/>
    <x v="2"/>
    <d v="2025-12-15T00:00:00"/>
    <n v="1971390"/>
    <s v="Dec"/>
    <d v="2025-12-19T00:00:00"/>
    <n v="162700"/>
    <n v="2"/>
    <n v="8"/>
    <s v="Pending"/>
    <x v="2"/>
    <n v="42"/>
    <s v="Active"/>
  </r>
  <r>
    <x v="63"/>
    <s v="Kakraul, Near High School"/>
    <x v="3"/>
    <n v="1717830"/>
    <x v="2"/>
    <d v="2025-12-27T00:00:00"/>
    <n v="1408020"/>
    <s v="Jan"/>
    <d v="2026-01-07T00:00:00"/>
    <n v="309810"/>
    <n v="11"/>
    <n v="9"/>
    <s v="Pending"/>
    <x v="0"/>
    <n v="23"/>
    <s v="Active"/>
  </r>
  <r>
    <x v="64"/>
    <s v="Simri"/>
    <x v="3"/>
    <n v="1811020"/>
    <x v="0"/>
    <d v="2026-01-22T00:00:00"/>
    <n v="1584050"/>
    <s v="Dec"/>
    <d v="2025-12-03T00:00:00"/>
    <n v="226970"/>
    <n v="8"/>
    <n v="4"/>
    <s v="Pending"/>
    <x v="0"/>
    <n v="58"/>
    <s v="Moderate"/>
  </r>
  <r>
    <x v="65"/>
    <s v="Kusheshwar"/>
    <x v="3"/>
    <n v="18000"/>
    <x v="0"/>
    <d v="2026-01-12T00:00:00"/>
    <n v="6000"/>
    <s v="Nov"/>
    <d v="2025-11-22T00:00:00"/>
    <n v="12000"/>
    <n v="1"/>
    <n v="2"/>
    <s v="Pending"/>
    <x v="4"/>
    <n v="69"/>
    <s v="Moderate"/>
  </r>
  <r>
    <x v="66"/>
    <s v="Old Tardih"/>
    <x v="3"/>
    <n v="1928600"/>
    <x v="2"/>
    <d v="2025-12-11T00:00:00"/>
    <n v="1745530"/>
    <s v="Jan"/>
    <d v="2026-01-31T00:00:00"/>
    <n v="183070"/>
    <n v="4"/>
    <n v="3"/>
    <s v="Pending"/>
    <x v="2"/>
    <n v="-1"/>
    <s v="Active"/>
  </r>
  <r>
    <x v="67"/>
    <s v="Mirzapur, Near High School"/>
    <x v="3"/>
    <n v="17830"/>
    <x v="1"/>
    <d v="2025-11-22T00:00:00"/>
    <n v="13930"/>
    <s v="Jan"/>
    <d v="2026-01-27T00:00:00"/>
    <n v="3900"/>
    <n v="1"/>
    <n v="1"/>
    <s v="Pending"/>
    <x v="4"/>
    <n v="3"/>
    <s v="Active"/>
  </r>
  <r>
    <x v="68"/>
    <s v="East Ujan"/>
    <x v="3"/>
    <n v="1589820"/>
    <x v="2"/>
    <d v="2025-12-23T00:00:00"/>
    <n v="1414560"/>
    <s v="Jan"/>
    <d v="2026-01-29T00:00:00"/>
    <n v="175260"/>
    <n v="5"/>
    <n v="4"/>
    <s v="Pending"/>
    <x v="2"/>
    <n v="1"/>
    <s v="Active"/>
  </r>
  <r>
    <x v="69"/>
    <s v="Ladania, Hospital Road"/>
    <x v="3"/>
    <n v="1828150"/>
    <x v="0"/>
    <d v="2026-01-17T00:00:00"/>
    <n v="1361970"/>
    <s v="Jan"/>
    <d v="2026-01-28T00:00:00"/>
    <n v="466180"/>
    <n v="5"/>
    <n v="4"/>
    <s v="Pending"/>
    <x v="1"/>
    <n v="2"/>
    <s v="Active"/>
  </r>
  <r>
    <x v="70"/>
    <s v="Sakatpur, Station Road"/>
    <x v="3"/>
    <n v="2009740"/>
    <x v="0"/>
    <d v="2026-01-10T00:00:00"/>
    <n v="1896800"/>
    <s v="Jan"/>
    <d v="2026-01-23T00:00:00"/>
    <n v="112940"/>
    <n v="6"/>
    <n v="2"/>
    <s v="Pending"/>
    <x v="2"/>
    <n v="7"/>
    <s v="Active"/>
  </r>
  <r>
    <x v="71"/>
    <s v="South Urdu Bazar"/>
    <x v="4"/>
    <n v="19720"/>
    <x v="1"/>
    <d v="2025-11-27T00:00:00"/>
    <n v="16860"/>
    <s v="Nov"/>
    <d v="2025-11-26T00:00:00"/>
    <n v="2860"/>
    <n v="6"/>
    <n v="4"/>
    <s v="Settled"/>
    <x v="4"/>
    <n v="65"/>
    <s v="Moderate"/>
  </r>
  <r>
    <x v="72"/>
    <s v="Kishanpur"/>
    <x v="3"/>
    <n v="2464670"/>
    <x v="1"/>
    <d v="2025-11-14T00:00:00"/>
    <n v="2393830"/>
    <s v="Jan"/>
    <d v="2026-01-11T00:00:00"/>
    <n v="70840"/>
    <n v="5"/>
    <n v="4"/>
    <s v="Pending"/>
    <x v="3"/>
    <n v="19"/>
    <s v="Active"/>
  </r>
  <r>
    <x v="73"/>
    <s v="Jhanjharpur Rs More"/>
    <x v="3"/>
    <n v="212430"/>
    <x v="2"/>
    <d v="2025-12-07T00:00:00"/>
    <n v="171970"/>
    <s v="Dec"/>
    <d v="2025-12-17T00:00:00"/>
    <n v="40460"/>
    <n v="7"/>
    <n v="5"/>
    <s v="Pending"/>
    <x v="3"/>
    <n v="44"/>
    <s v="Active"/>
  </r>
  <r>
    <x v="74"/>
    <s v="Bahadurpur Road"/>
    <x v="5"/>
    <n v="23500"/>
    <x v="0"/>
    <d v="2026-01-23T00:00:00"/>
    <n v="13500"/>
    <s v="Jan"/>
    <d v="2026-01-08T00:00:00"/>
    <n v="10000"/>
    <n v="1"/>
    <n v="1"/>
    <s v="Pending"/>
    <x v="4"/>
    <n v="22"/>
    <s v="Active"/>
  </r>
  <r>
    <x v="75"/>
    <s v="Bengra,  Bank"/>
    <x v="3"/>
    <n v="1566020"/>
    <x v="0"/>
    <d v="2026-01-27T00:00:00"/>
    <n v="1370740"/>
    <s v="Jan"/>
    <d v="2026-01-24T00:00:00"/>
    <n v="195280"/>
    <n v="3"/>
    <n v="2"/>
    <s v="Pending"/>
    <x v="2"/>
    <n v="6"/>
    <s v="Active"/>
  </r>
  <r>
    <x v="76"/>
    <s v="Khutauna"/>
    <x v="3"/>
    <n v="3587000"/>
    <x v="0"/>
    <d v="2026-01-11T00:00:00"/>
    <n v="2800000"/>
    <s v="Jan"/>
    <d v="2026-01-01T00:00:00"/>
    <n v="787000"/>
    <n v="1"/>
    <n v="2"/>
    <s v="Pending"/>
    <x v="1"/>
    <n v="29"/>
    <s v="Active"/>
  </r>
  <r>
    <x v="77"/>
    <s v="Nari"/>
    <x v="3"/>
    <n v="87000"/>
    <x v="2"/>
    <d v="2025-12-22T00:00:00"/>
    <n v="10000"/>
    <s v="Nov"/>
    <d v="2025-11-21T00:00:00"/>
    <n v="77000"/>
    <n v="1"/>
    <n v="1"/>
    <s v="Pending"/>
    <x v="3"/>
    <n v="70"/>
    <s v="Moderate"/>
  </r>
  <r>
    <x v="78"/>
    <s v="New Benipatti"/>
    <x v="4"/>
    <n v="2144640"/>
    <x v="1"/>
    <d v="2025-11-26T00:00:00"/>
    <n v="1899680"/>
    <s v="Jan"/>
    <d v="2026-01-05T00:00:00"/>
    <n v="244960"/>
    <n v="1"/>
    <n v="4"/>
    <s v="Pending"/>
    <x v="0"/>
    <n v="25"/>
    <s v="Active"/>
  </r>
  <r>
    <x v="79"/>
    <s v="Ujan"/>
    <x v="3"/>
    <n v="1279210"/>
    <x v="2"/>
    <d v="2025-12-13T00:00:00"/>
    <n v="1192920"/>
    <s v="Dec"/>
    <d v="2025-12-11T00:00:00"/>
    <n v="86290"/>
    <n v="2"/>
    <n v="2"/>
    <s v="Pending"/>
    <x v="3"/>
    <n v="50"/>
    <s v="Moderate"/>
  </r>
  <r>
    <x v="80"/>
    <s v="Babubarhi,  Bank"/>
    <x v="3"/>
    <n v="20800"/>
    <x v="1"/>
    <d v="2025-11-11T00:00:00"/>
    <n v="8000"/>
    <s v="Jan"/>
    <d v="2026-01-16T00:00:00"/>
    <n v="12800"/>
    <n v="3"/>
    <n v="2"/>
    <s v="Pending"/>
    <x v="4"/>
    <n v="14"/>
    <s v="Active"/>
  </r>
  <r>
    <x v="81"/>
    <s v="Paithan Kabai Ward 6"/>
    <x v="6"/>
    <n v="1044170"/>
    <x v="0"/>
    <d v="2026-01-30T00:00:00"/>
    <n v="741760"/>
    <s v="Dec"/>
    <d v="2025-12-10T00:00:00"/>
    <n v="302410"/>
    <n v="3"/>
    <n v="2"/>
    <s v="Pending"/>
    <x v="0"/>
    <n v="51"/>
    <s v="Moderate"/>
  </r>
  <r>
    <x v="82"/>
    <s v="Ashapur"/>
    <x v="3"/>
    <n v="22660"/>
    <x v="0"/>
    <d v="2026-01-20T00:00:00"/>
    <n v="20000"/>
    <s v="Jan"/>
    <d v="2026-01-27T00:00:00"/>
    <n v="2660"/>
    <n v="1"/>
    <n v="1"/>
    <s v="Settled"/>
    <x v="4"/>
    <n v="3"/>
    <s v="Active"/>
  </r>
  <r>
    <x v="83"/>
    <s v="Alinagar"/>
    <x v="4"/>
    <n v="2042170"/>
    <x v="1"/>
    <d v="2025-11-21T00:00:00"/>
    <n v="1587080"/>
    <s v="Jan"/>
    <d v="2026-01-27T00:00:00"/>
    <n v="455090"/>
    <n v="3"/>
    <n v="4"/>
    <s v="Pending"/>
    <x v="1"/>
    <n v="3"/>
    <s v="Active"/>
  </r>
  <r>
    <x v="84"/>
    <s v="Bharwara Naka"/>
    <x v="5"/>
    <n v="2117130"/>
    <x v="1"/>
    <d v="2025-11-15T00:00:00"/>
    <n v="2020960"/>
    <s v="Nov"/>
    <d v="2025-11-21T00:00:00"/>
    <n v="96170"/>
    <n v="2"/>
    <n v="2"/>
    <s v="Pending"/>
    <x v="3"/>
    <n v="70"/>
    <s v="Moderate"/>
  </r>
  <r>
    <x v="85"/>
    <s v="Gudri, Station Road"/>
    <x v="6"/>
    <n v="1475130"/>
    <x v="0"/>
    <d v="2026-01-06T00:00:00"/>
    <n v="1116570"/>
    <s v="Nov"/>
    <d v="2025-11-27T00:00:00"/>
    <n v="358560"/>
    <n v="6"/>
    <n v="7"/>
    <s v="Pending"/>
    <x v="1"/>
    <n v="64"/>
    <s v="Moderate"/>
  </r>
  <r>
    <x v="86"/>
    <s v="New Hanuman Nagar"/>
    <x v="3"/>
    <n v="14310"/>
    <x v="2"/>
    <d v="2025-12-09T00:00:00"/>
    <n v="12620"/>
    <s v="Jan"/>
    <d v="2026-01-09T00:00:00"/>
    <n v="1690"/>
    <n v="1"/>
    <n v="2"/>
    <s v="Settled"/>
    <x v="4"/>
    <n v="21"/>
    <s v="Active"/>
  </r>
  <r>
    <x v="87"/>
    <s v="Maulaganj,  Mandir"/>
    <x v="4"/>
    <n v="2172060"/>
    <x v="2"/>
    <d v="2025-12-07T00:00:00"/>
    <n v="2114160"/>
    <s v="Nov"/>
    <d v="2025-11-29T00:00:00"/>
    <n v="57900"/>
    <n v="6"/>
    <n v="4"/>
    <s v="Pending"/>
    <x v="3"/>
    <n v="62"/>
    <s v="Moderate"/>
  </r>
  <r>
    <x v="88"/>
    <s v="Station Road"/>
    <x v="3"/>
    <n v="1526020"/>
    <x v="0"/>
    <d v="2026-01-21T00:00:00"/>
    <n v="1165160"/>
    <s v="Jan"/>
    <d v="2026-01-18T00:00:00"/>
    <n v="360860"/>
    <n v="1"/>
    <n v="4"/>
    <s v="Pending"/>
    <x v="1"/>
    <n v="12"/>
    <s v="Active"/>
  </r>
  <r>
    <x v="89"/>
    <s v="Kusheshwar"/>
    <x v="3"/>
    <n v="147000"/>
    <x v="0"/>
    <d v="2026-01-13T00:00:00"/>
    <n v="50000"/>
    <s v="Jan"/>
    <d v="2026-01-15T00:00:00"/>
    <n v="97000"/>
    <n v="3"/>
    <n v="2"/>
    <s v="Pending"/>
    <x v="3"/>
    <n v="15"/>
    <s v="Active"/>
  </r>
  <r>
    <x v="90"/>
    <s v="Paithan Kabai Bazar"/>
    <x v="3"/>
    <n v="2167440"/>
    <x v="2"/>
    <d v="2025-12-07T00:00:00"/>
    <n v="2029130"/>
    <s v="Dec"/>
    <d v="2025-12-05T00:00:00"/>
    <n v="138310"/>
    <n v="1"/>
    <n v="1"/>
    <s v="Pending"/>
    <x v="2"/>
    <n v="56"/>
    <s v="Moderate"/>
  </r>
  <r>
    <x v="91"/>
    <s v="Rajnagar, Darbhanga"/>
    <x v="5"/>
    <n v="2352800"/>
    <x v="1"/>
    <d v="2025-11-10T00:00:00"/>
    <n v="2277100"/>
    <s v="Nov"/>
    <d v="2025-11-30T00:00:00"/>
    <n v="75700"/>
    <n v="4"/>
    <n v="3"/>
    <s v="Pending"/>
    <x v="3"/>
    <n v="61"/>
    <s v="Moderate"/>
  </r>
  <r>
    <x v="92"/>
    <s v="Kaptanganj"/>
    <x v="3"/>
    <n v="1273490"/>
    <x v="2"/>
    <d v="2025-12-19T00:00:00"/>
    <n v="1055640"/>
    <s v="Jan"/>
    <d v="2026-01-03T00:00:00"/>
    <n v="217850"/>
    <n v="2"/>
    <n v="4"/>
    <s v="Pending"/>
    <x v="0"/>
    <n v="27"/>
    <s v="Active"/>
  </r>
  <r>
    <x v="93"/>
    <s v="Mangrauni Naka"/>
    <x v="6"/>
    <n v="2176480"/>
    <x v="2"/>
    <d v="2025-12-01T00:00:00"/>
    <n v="2008520"/>
    <s v="Dec"/>
    <d v="2025-12-11T00:00:00"/>
    <n v="167960"/>
    <n v="6"/>
    <n v="4"/>
    <s v="Pending"/>
    <x v="2"/>
    <n v="50"/>
    <s v="Moderate"/>
  </r>
  <r>
    <x v="94"/>
    <s v="Supaul"/>
    <x v="3"/>
    <n v="65000"/>
    <x v="2"/>
    <d v="2025-12-06T00:00:00"/>
    <n v="50000"/>
    <s v="Dec"/>
    <d v="2025-12-30T00:00:00"/>
    <n v="15000"/>
    <n v="2"/>
    <n v="1"/>
    <s v="Pending"/>
    <x v="4"/>
    <n v="31"/>
    <s v="Active"/>
  </r>
  <r>
    <x v="95"/>
    <s v="Babubarhi More"/>
    <x v="4"/>
    <n v="2184630"/>
    <x v="1"/>
    <d v="2025-11-29T00:00:00"/>
    <n v="2121610"/>
    <s v="Dec"/>
    <d v="2025-12-31T00:00:00"/>
    <n v="63020"/>
    <n v="1"/>
    <n v="2"/>
    <s v="Pending"/>
    <x v="3"/>
    <n v="30"/>
    <s v="Active"/>
  </r>
  <r>
    <x v="96"/>
    <s v="Belwaganj Ward 5"/>
    <x v="3"/>
    <n v="1645900"/>
    <x v="1"/>
    <d v="2025-11-29T00:00:00"/>
    <n v="1608740"/>
    <s v="Nov"/>
    <d v="2025-11-17T00:00:00"/>
    <n v="37160"/>
    <n v="2"/>
    <n v="2"/>
    <s v="Pending"/>
    <x v="3"/>
    <n v="74"/>
    <s v="Moderate"/>
  </r>
  <r>
    <x v="97"/>
    <s v="Mirzapur, Darbhanga"/>
    <x v="5"/>
    <n v="20220"/>
    <x v="1"/>
    <d v="2025-11-10T00:00:00"/>
    <n v="16750"/>
    <s v="Dec"/>
    <d v="2025-12-31T00:00:00"/>
    <n v="3470"/>
    <n v="4"/>
    <n v="2"/>
    <s v="Pending"/>
    <x v="4"/>
    <n v="30"/>
    <s v="Active"/>
  </r>
  <r>
    <x v="98"/>
    <s v="Harlakhi Ward 10"/>
    <x v="5"/>
    <n v="2218020"/>
    <x v="0"/>
    <d v="2026-01-21T00:00:00"/>
    <n v="2002780"/>
    <s v="Jan"/>
    <d v="2026-01-21T00:00:00"/>
    <n v="215240"/>
    <n v="1"/>
    <n v="3"/>
    <s v="Pending"/>
    <x v="0"/>
    <n v="9"/>
    <s v="Active"/>
  </r>
  <r>
    <x v="99"/>
    <s v="Dalsingsarai Chowk"/>
    <x v="3"/>
    <n v="11000"/>
    <x v="0"/>
    <d v="2026-01-30T00:00:00"/>
    <n v="4000"/>
    <s v="Nov"/>
    <d v="2025-11-11T00:00:00"/>
    <n v="7000"/>
    <n v="3"/>
    <n v="2"/>
    <s v="Pending"/>
    <x v="4"/>
    <n v="80"/>
    <s v="Inactive"/>
  </r>
  <r>
    <x v="100"/>
    <s v="Madhubani"/>
    <x v="6"/>
    <n v="185610"/>
    <x v="0"/>
    <d v="2026-01-12T00:00:00"/>
    <n v="115000"/>
    <s v="Jan"/>
    <d v="2026-01-07T00:00:00"/>
    <n v="70610"/>
    <n v="2"/>
    <n v="3"/>
    <s v="Pending"/>
    <x v="3"/>
    <n v="23"/>
    <s v="Active"/>
  </r>
  <r>
    <x v="101"/>
    <s v="Main Bharwara"/>
    <x v="4"/>
    <n v="2189790"/>
    <x v="2"/>
    <d v="2025-12-05T00:00:00"/>
    <n v="2045680"/>
    <s v="Jan"/>
    <d v="2026-01-28T00:00:00"/>
    <n v="144110"/>
    <n v="5"/>
    <n v="2"/>
    <s v="Pending"/>
    <x v="2"/>
    <n v="2"/>
    <s v="Active"/>
  </r>
  <r>
    <x v="102"/>
    <s v="Warishnagar"/>
    <x v="4"/>
    <n v="2222440"/>
    <x v="2"/>
    <d v="2025-12-03T00:00:00"/>
    <n v="1716290"/>
    <s v="Nov"/>
    <d v="2025-11-13T00:00:00"/>
    <n v="506150"/>
    <n v="12"/>
    <n v="8"/>
    <s v="Pending"/>
    <x v="1"/>
    <n v="78"/>
    <s v="Inactive"/>
  </r>
  <r>
    <x v="103"/>
    <s v="Mirjapur"/>
    <x v="6"/>
    <n v="38700"/>
    <x v="2"/>
    <d v="2025-12-17T00:00:00"/>
    <n v="18500"/>
    <s v="Dec"/>
    <d v="2025-12-24T00:00:00"/>
    <n v="20200"/>
    <n v="1"/>
    <n v="2"/>
    <s v="Pending"/>
    <x v="4"/>
    <n v="37"/>
    <s v="Active"/>
  </r>
  <r>
    <x v="104"/>
    <s v="Supaul"/>
    <x v="3"/>
    <n v="70000"/>
    <x v="0"/>
    <d v="2026-01-29T00:00:00"/>
    <n v="21000"/>
    <s v="Jan"/>
    <d v="2026-01-23T00:00:00"/>
    <n v="49000"/>
    <n v="1"/>
    <n v="1"/>
    <s v="Pending"/>
    <x v="3"/>
    <n v="7"/>
    <s v="Active"/>
  </r>
  <r>
    <x v="105"/>
    <s v="Kusheshwar"/>
    <x v="5"/>
    <n v="67000"/>
    <x v="1"/>
    <d v="2025-11-23T00:00:00"/>
    <n v="15000"/>
    <s v="Dec"/>
    <d v="2025-12-16T00:00:00"/>
    <n v="52000"/>
    <n v="1"/>
    <n v="4"/>
    <s v="Pending"/>
    <x v="3"/>
    <n v="45"/>
    <s v="Active"/>
  </r>
  <r>
    <x v="106"/>
    <s v="Mansapur Market"/>
    <x v="3"/>
    <n v="2079500"/>
    <x v="2"/>
    <d v="2025-12-31T00:00:00"/>
    <n v="1759220"/>
    <s v="Jan"/>
    <d v="2026-01-04T00:00:00"/>
    <n v="320280"/>
    <n v="4"/>
    <n v="4"/>
    <s v="Pending"/>
    <x v="0"/>
    <n v="26"/>
    <s v="Active"/>
  </r>
  <r>
    <x v="107"/>
    <s v="Muzaffarpur Road Chowk"/>
    <x v="3"/>
    <n v="2355770"/>
    <x v="0"/>
    <d v="2026-01-27T00:00:00"/>
    <n v="2201120"/>
    <s v="Nov"/>
    <d v="2025-11-18T00:00:00"/>
    <n v="154650"/>
    <n v="4"/>
    <n v="1"/>
    <s v="Pending"/>
    <x v="2"/>
    <n v="73"/>
    <s v="Moderate"/>
  </r>
  <r>
    <x v="108"/>
    <s v="Nehra Ward 15"/>
    <x v="3"/>
    <n v="19270"/>
    <x v="1"/>
    <d v="2025-11-25T00:00:00"/>
    <n v="15850"/>
    <s v="Dec"/>
    <d v="2025-12-28T00:00:00"/>
    <n v="3420"/>
    <n v="4"/>
    <n v="2"/>
    <s v="Pending"/>
    <x v="4"/>
    <n v="33"/>
    <s v="Active"/>
  </r>
  <r>
    <x v="109"/>
    <s v="Kusheshwar"/>
    <x v="5"/>
    <n v="565670"/>
    <x v="2"/>
    <d v="2025-12-16T00:00:00"/>
    <n v="450000"/>
    <s v="Nov"/>
    <d v="2025-11-10T00:00:00"/>
    <n v="115670"/>
    <n v="4"/>
    <n v="6"/>
    <s v="Pending"/>
    <x v="2"/>
    <n v="81"/>
    <s v="Inactive"/>
  </r>
  <r>
    <x v="110"/>
    <s v="Warishnagar Road"/>
    <x v="4"/>
    <n v="2284700"/>
    <x v="2"/>
    <d v="2025-12-18T00:00:00"/>
    <n v="2066100"/>
    <s v="Nov"/>
    <d v="2025-11-26T00:00:00"/>
    <n v="218600"/>
    <n v="5"/>
    <n v="11"/>
    <s v="Pending"/>
    <x v="0"/>
    <n v="65"/>
    <s v="Moderate"/>
  </r>
  <r>
    <x v="111"/>
    <s v="East Gangania"/>
    <x v="3"/>
    <n v="24470"/>
    <x v="0"/>
    <d v="2026-01-22T00:00:00"/>
    <n v="21320"/>
    <s v="Dec"/>
    <d v="2025-12-11T00:00:00"/>
    <n v="3150"/>
    <n v="3"/>
    <n v="3"/>
    <s v="Pending"/>
    <x v="4"/>
    <n v="50"/>
    <s v="Moderate"/>
  </r>
  <r>
    <x v="112"/>
    <s v="Bhowara Ward 15"/>
    <x v="5"/>
    <n v="1958450"/>
    <x v="0"/>
    <d v="2026-01-19T00:00:00"/>
    <n v="1820250"/>
    <s v="Dec"/>
    <d v="2025-12-12T00:00:00"/>
    <n v="138200"/>
    <n v="7"/>
    <n v="5"/>
    <s v="Pending"/>
    <x v="2"/>
    <n v="49"/>
    <s v="Moderate"/>
  </r>
  <r>
    <x v="113"/>
    <s v="Madhubani Bazar"/>
    <x v="4"/>
    <n v="1645230"/>
    <x v="0"/>
    <d v="2026-01-24T00:00:00"/>
    <n v="1336720"/>
    <s v="Dec"/>
    <d v="2025-12-08T00:00:00"/>
    <n v="308510"/>
    <n v="4"/>
    <n v="2"/>
    <s v="Pending"/>
    <x v="0"/>
    <n v="53"/>
    <s v="Moderate"/>
  </r>
  <r>
    <x v="114"/>
    <s v="Benipatti"/>
    <x v="7"/>
    <n v="69540"/>
    <x v="0"/>
    <d v="2026-01-07T00:00:00"/>
    <n v="20000"/>
    <s v="Dec"/>
    <d v="2025-12-12T00:00:00"/>
    <n v="49540"/>
    <n v="1"/>
    <n v="1"/>
    <s v="Pending"/>
    <x v="3"/>
    <n v="49"/>
    <s v="Moderate"/>
  </r>
  <r>
    <x v="115"/>
    <s v="Muzaffarpur Road More"/>
    <x v="5"/>
    <n v="60000"/>
    <x v="2"/>
    <d v="2025-12-12T00:00:00"/>
    <n v="10000"/>
    <s v="Jan"/>
    <d v="2026-01-15T00:00:00"/>
    <n v="50000"/>
    <n v="5"/>
    <n v="2"/>
    <s v="Pending"/>
    <x v="3"/>
    <n v="15"/>
    <s v="Active"/>
  </r>
  <r>
    <x v="116"/>
    <s v="New Station Road"/>
    <x v="7"/>
    <n v="1284670"/>
    <x v="0"/>
    <d v="2026-01-10T00:00:00"/>
    <n v="859040"/>
    <s v="Nov"/>
    <d v="2025-11-15T00:00:00"/>
    <n v="425630"/>
    <n v="3"/>
    <n v="4"/>
    <s v="Pending"/>
    <x v="1"/>
    <n v="76"/>
    <s v="Inactive"/>
  </r>
  <r>
    <x v="117"/>
    <s v="Main Kishanpur"/>
    <x v="7"/>
    <n v="22480"/>
    <x v="2"/>
    <d v="2025-12-25T00:00:00"/>
    <n v="19720"/>
    <s v="Nov"/>
    <d v="2025-11-25T00:00:00"/>
    <n v="2760"/>
    <n v="4"/>
    <n v="2"/>
    <s v="Settled"/>
    <x v="4"/>
    <n v="66"/>
    <s v="Moderate"/>
  </r>
  <r>
    <x v="118"/>
    <s v="Ujan Ward 5"/>
    <x v="7"/>
    <n v="12570"/>
    <x v="1"/>
    <d v="2025-11-20T00:00:00"/>
    <n v="10000"/>
    <s v="Dec"/>
    <d v="2025-12-28T00:00:00"/>
    <n v="2570"/>
    <n v="6"/>
    <n v="2"/>
    <s v="Settled"/>
    <x v="4"/>
    <n v="33"/>
    <s v="Active"/>
  </r>
  <r>
    <x v="119"/>
    <s v="Baheri, Darbhanga"/>
    <x v="6"/>
    <n v="10400"/>
    <x v="0"/>
    <d v="2026-01-19T00:00:00"/>
    <n v="7000"/>
    <s v="Jan"/>
    <d v="2026-01-10T00:00:00"/>
    <n v="3400"/>
    <n v="4"/>
    <n v="1"/>
    <s v="Pending"/>
    <x v="4"/>
    <n v="20"/>
    <s v="Active"/>
  </r>
  <r>
    <x v="120"/>
    <s v="Baheri"/>
    <x v="5"/>
    <n v="65660"/>
    <x v="0"/>
    <d v="2026-01-28T00:00:00"/>
    <n v="10000"/>
    <s v="Nov"/>
    <d v="2025-11-25T00:00:00"/>
    <n v="55660"/>
    <n v="1"/>
    <n v="2"/>
    <s v="Pending"/>
    <x v="3"/>
    <n v="66"/>
    <s v="Moderate"/>
  </r>
  <r>
    <x v="121"/>
    <s v="Laukaha Ghat"/>
    <x v="6"/>
    <n v="1893280"/>
    <x v="2"/>
    <d v="2025-12-09T00:00:00"/>
    <n v="1718710"/>
    <s v="Dec"/>
    <d v="2025-12-10T00:00:00"/>
    <n v="174570"/>
    <n v="7"/>
    <n v="11"/>
    <s v="Pending"/>
    <x v="2"/>
    <n v="51"/>
    <s v="Moderate"/>
  </r>
  <r>
    <x v="122"/>
    <s v="Babubarhi Ghat"/>
    <x v="4"/>
    <n v="2329060"/>
    <x v="1"/>
    <d v="2025-11-28T00:00:00"/>
    <n v="2233130"/>
    <s v="Dec"/>
    <d v="2025-12-27T00:00:00"/>
    <n v="95930"/>
    <n v="2"/>
    <n v="2"/>
    <s v="Pending"/>
    <x v="3"/>
    <n v="34"/>
    <s v="Active"/>
  </r>
  <r>
    <x v="123"/>
    <s v="Bisfi Ward 7"/>
    <x v="0"/>
    <n v="1232910"/>
    <x v="2"/>
    <d v="2025-12-06T00:00:00"/>
    <n v="1031230"/>
    <s v="Jan"/>
    <d v="2026-01-02T00:00:00"/>
    <n v="201680"/>
    <n v="6"/>
    <n v="4"/>
    <s v="Pending"/>
    <x v="0"/>
    <n v="28"/>
    <s v="Active"/>
  </r>
  <r>
    <x v="124"/>
    <s v="Jhanjharpur"/>
    <x v="7"/>
    <n v="1803480"/>
    <x v="0"/>
    <d v="2026-01-02T00:00:00"/>
    <n v="1731870"/>
    <s v="Jan"/>
    <d v="2026-01-13T00:00:00"/>
    <n v="71610"/>
    <n v="6"/>
    <n v="3"/>
    <s v="Pending"/>
    <x v="3"/>
    <n v="17"/>
    <s v="Active"/>
  </r>
  <r>
    <x v="125"/>
    <s v="Main Pindaruch"/>
    <x v="7"/>
    <n v="1516010"/>
    <x v="1"/>
    <d v="2025-11-13T00:00:00"/>
    <n v="1376050"/>
    <s v="Dec"/>
    <d v="2025-12-18T00:00:00"/>
    <n v="139960"/>
    <n v="5"/>
    <n v="1"/>
    <s v="Pending"/>
    <x v="2"/>
    <n v="43"/>
    <s v="Active"/>
  </r>
  <r>
    <x v="126"/>
    <s v="Old Kathalbari"/>
    <x v="5"/>
    <n v="1954030"/>
    <x v="0"/>
    <d v="2026-01-15T00:00:00"/>
    <n v="1871480"/>
    <s v="Jan"/>
    <d v="2026-01-19T00:00:00"/>
    <n v="82550"/>
    <n v="5"/>
    <n v="2"/>
    <s v="Pending"/>
    <x v="3"/>
    <n v="11"/>
    <s v="Active"/>
  </r>
  <r>
    <x v="127"/>
    <s v="Mangrauni Ward 10"/>
    <x v="7"/>
    <n v="1402040"/>
    <x v="1"/>
    <d v="2025-11-14T00:00:00"/>
    <n v="1285760"/>
    <s v="Jan"/>
    <d v="2026-01-11T00:00:00"/>
    <n v="116280"/>
    <n v="1"/>
    <n v="2"/>
    <s v="Pending"/>
    <x v="2"/>
    <n v="19"/>
    <s v="Active"/>
  </r>
  <r>
    <x v="128"/>
    <s v="Lakhnaur, Madhubani"/>
    <x v="4"/>
    <n v="10890"/>
    <x v="2"/>
    <d v="2025-12-27T00:00:00"/>
    <n v="7730"/>
    <s v="Nov"/>
    <d v="2025-11-12T00:00:00"/>
    <n v="3160"/>
    <n v="3"/>
    <n v="2"/>
    <s v="Pending"/>
    <x v="4"/>
    <n v="79"/>
    <s v="Inactive"/>
  </r>
  <r>
    <x v="129"/>
    <s v="Benipur"/>
    <x v="7"/>
    <n v="2255980"/>
    <x v="2"/>
    <d v="2025-12-10T00:00:00"/>
    <n v="2080460"/>
    <s v="Dec"/>
    <d v="2025-12-27T00:00:00"/>
    <n v="175520"/>
    <n v="1"/>
    <n v="4"/>
    <s v="Pending"/>
    <x v="2"/>
    <n v="34"/>
    <s v="Active"/>
  </r>
  <r>
    <x v="130"/>
    <s v="Ranipur, Station Road"/>
    <x v="4"/>
    <n v="1202430"/>
    <x v="2"/>
    <d v="2025-12-01T00:00:00"/>
    <n v="983580"/>
    <s v="Nov"/>
    <d v="2025-11-27T00:00:00"/>
    <n v="218850"/>
    <n v="4"/>
    <n v="4"/>
    <s v="Pending"/>
    <x v="0"/>
    <n v="64"/>
    <s v="Moderate"/>
  </r>
  <r>
    <x v="131"/>
    <s v="Ratanpur, Madhubani"/>
    <x v="7"/>
    <n v="153930"/>
    <x v="2"/>
    <d v="2025-12-15T00:00:00"/>
    <n v="140900"/>
    <s v="Jan"/>
    <d v="2026-01-05T00:00:00"/>
    <n v="13030"/>
    <n v="2"/>
    <n v="4"/>
    <s v="Pending"/>
    <x v="4"/>
    <n v="25"/>
    <s v="Active"/>
  </r>
  <r>
    <x v="132"/>
    <s v="Shankarpur"/>
    <x v="7"/>
    <n v="193650"/>
    <x v="2"/>
    <d v="2025-12-16T00:00:00"/>
    <n v="183070"/>
    <s v="Jan"/>
    <d v="2026-01-05T00:00:00"/>
    <n v="10580"/>
    <n v="1"/>
    <n v="3"/>
    <s v="Pending"/>
    <x v="4"/>
    <n v="25"/>
    <s v="Active"/>
  </r>
  <r>
    <x v="133"/>
    <s v="Alinagar"/>
    <x v="5"/>
    <n v="65670"/>
    <x v="2"/>
    <d v="2025-12-29T00:00:00"/>
    <n v="24000"/>
    <s v="Nov"/>
    <d v="2025-11-15T00:00:00"/>
    <n v="41670"/>
    <n v="0"/>
    <n v="4"/>
    <s v="Pending"/>
    <x v="3"/>
    <n v="76"/>
    <s v="Inactive"/>
  </r>
  <r>
    <x v="134"/>
    <s v="North Keoti"/>
    <x v="7"/>
    <n v="160940"/>
    <x v="2"/>
    <d v="2025-12-14T00:00:00"/>
    <n v="134740"/>
    <s v="Jan"/>
    <d v="2026-01-31T00:00:00"/>
    <n v="26200"/>
    <n v="6"/>
    <n v="4"/>
    <s v="Pending"/>
    <x v="4"/>
    <n v="-1"/>
    <s v="Active"/>
  </r>
  <r>
    <x v="135"/>
    <s v="Manigachhi, Hospital Road"/>
    <x v="4"/>
    <n v="1699410"/>
    <x v="0"/>
    <d v="2026-01-06T00:00:00"/>
    <n v="1556280"/>
    <s v="Nov"/>
    <d v="2025-11-26T00:00:00"/>
    <n v="143130"/>
    <n v="4"/>
    <n v="3"/>
    <s v="Pending"/>
    <x v="2"/>
    <n v="65"/>
    <s v="Moderate"/>
  </r>
  <r>
    <x v="136"/>
    <s v="Belwaganj, Near High School"/>
    <x v="7"/>
    <n v="104700"/>
    <x v="1"/>
    <d v="2025-11-22T00:00:00"/>
    <n v="91230"/>
    <s v="Dec"/>
    <d v="2025-12-26T00:00:00"/>
    <n v="13470"/>
    <n v="5"/>
    <n v="1"/>
    <s v="Pending"/>
    <x v="4"/>
    <n v="35"/>
    <s v="Active"/>
  </r>
  <r>
    <x v="137"/>
    <s v="Kusheshwar Asthan, Near High School"/>
    <x v="7"/>
    <n v="2469070"/>
    <x v="2"/>
    <d v="2025-12-02T00:00:00"/>
    <n v="2364000"/>
    <s v="Nov"/>
    <d v="2025-11-13T00:00:00"/>
    <n v="105070"/>
    <n v="6"/>
    <n v="3"/>
    <s v="Pending"/>
    <x v="2"/>
    <n v="78"/>
    <s v="Inactive"/>
  </r>
  <r>
    <x v="138"/>
    <s v="Muzaffarpur Road,  Mandir"/>
    <x v="6"/>
    <n v="2150930"/>
    <x v="0"/>
    <d v="2026-01-19T00:00:00"/>
    <n v="1990920"/>
    <s v="Nov"/>
    <d v="2025-11-15T00:00:00"/>
    <n v="160010"/>
    <n v="3"/>
    <n v="2"/>
    <s v="Pending"/>
    <x v="2"/>
    <n v="76"/>
    <s v="Inactive"/>
  </r>
  <r>
    <x v="139"/>
    <s v="Lakhnaur Asthan"/>
    <x v="7"/>
    <n v="122570"/>
    <x v="0"/>
    <d v="2026-01-01T00:00:00"/>
    <n v="95070"/>
    <s v="Dec"/>
    <d v="2025-12-05T00:00:00"/>
    <n v="27500"/>
    <n v="6"/>
    <n v="3"/>
    <s v="Pending"/>
    <x v="4"/>
    <n v="56"/>
    <s v="Moderate"/>
  </r>
  <r>
    <x v="140"/>
    <s v="New Jhanjharpur Rs"/>
    <x v="4"/>
    <n v="2396700"/>
    <x v="2"/>
    <d v="2025-12-11T00:00:00"/>
    <n v="2106110"/>
    <s v="Jan"/>
    <d v="2026-01-28T00:00:00"/>
    <n v="290590"/>
    <n v="5"/>
    <n v="2"/>
    <s v="Pending"/>
    <x v="0"/>
    <n v="2"/>
    <s v="Active"/>
  </r>
  <r>
    <x v="141"/>
    <s v="Shankarpur, Madhubani"/>
    <x v="7"/>
    <n v="2072050"/>
    <x v="0"/>
    <d v="2026-01-04T00:00:00"/>
    <n v="1929290"/>
    <s v="Jan"/>
    <d v="2026-01-25T00:00:00"/>
    <n v="142760"/>
    <n v="2"/>
    <n v="2"/>
    <s v="Pending"/>
    <x v="2"/>
    <n v="5"/>
    <s v="Active"/>
  </r>
  <r>
    <x v="142"/>
    <s v="Laheriasarai Ward 6"/>
    <x v="7"/>
    <n v="246090"/>
    <x v="1"/>
    <d v="2025-11-30T00:00:00"/>
    <n v="240950"/>
    <s v="Dec"/>
    <d v="2025-12-29T00:00:00"/>
    <n v="5140"/>
    <n v="4"/>
    <n v="4"/>
    <s v="Pending"/>
    <x v="4"/>
    <n v="32"/>
    <s v="Active"/>
  </r>
  <r>
    <x v="143"/>
    <s v="South Shivdhara"/>
    <x v="4"/>
    <n v="18820"/>
    <x v="2"/>
    <d v="2025-12-22T00:00:00"/>
    <n v="2800"/>
    <s v="Dec"/>
    <d v="2025-12-11T00:00:00"/>
    <n v="16020"/>
    <n v="1"/>
    <n v="3"/>
    <s v="Pending"/>
    <x v="4"/>
    <n v="50"/>
    <s v="Moderate"/>
  </r>
  <r>
    <x v="144"/>
    <s v="Jhanjharpur,  Mandir"/>
    <x v="7"/>
    <n v="1784330"/>
    <x v="1"/>
    <d v="2025-11-11T00:00:00"/>
    <n v="1514980"/>
    <s v="Jan"/>
    <d v="2026-01-16T00:00:00"/>
    <n v="269350"/>
    <n v="6"/>
    <n v="2"/>
    <s v="Pending"/>
    <x v="0"/>
    <n v="14"/>
    <s v="Active"/>
  </r>
  <r>
    <x v="145"/>
    <s v="Bhowara Naka"/>
    <x v="4"/>
    <n v="2300880"/>
    <x v="1"/>
    <d v="2025-11-25T00:00:00"/>
    <n v="1970530"/>
    <s v="Jan"/>
    <d v="2026-01-24T00:00:00"/>
    <n v="330350"/>
    <n v="2"/>
    <n v="1"/>
    <s v="Pending"/>
    <x v="0"/>
    <n v="6"/>
    <s v="Active"/>
  </r>
  <r>
    <x v="146"/>
    <s v="Laukaha Ward 9"/>
    <x v="7"/>
    <n v="19960"/>
    <x v="0"/>
    <d v="2026-01-07T00:00:00"/>
    <n v="18140"/>
    <s v="Nov"/>
    <d v="2025-11-30T00:00:00"/>
    <n v="1820"/>
    <n v="2"/>
    <n v="3"/>
    <s v="Settled"/>
    <x v="4"/>
    <n v="61"/>
    <s v="Moderate"/>
  </r>
  <r>
    <x v="147"/>
    <s v="Alinagar"/>
    <x v="6"/>
    <n v="67000"/>
    <x v="2"/>
    <d v="2025-12-06T00:00:00"/>
    <n v="50000"/>
    <s v="Dec"/>
    <d v="2025-12-04T00:00:00"/>
    <n v="17000"/>
    <n v="2"/>
    <n v="1"/>
    <s v="Pending"/>
    <x v="4"/>
    <n v="57"/>
    <s v="Moderate"/>
  </r>
  <r>
    <x v="148"/>
    <s v="Benipur Ward 6"/>
    <x v="7"/>
    <n v="12510"/>
    <x v="2"/>
    <d v="2025-12-18T00:00:00"/>
    <n v="9890"/>
    <s v="Dec"/>
    <d v="2025-12-24T00:00:00"/>
    <n v="2620"/>
    <n v="4"/>
    <n v="3"/>
    <s v="Settled"/>
    <x v="4"/>
    <n v="37"/>
    <s v="Active"/>
  </r>
  <r>
    <x v="149"/>
    <s v="Tardih"/>
    <x v="6"/>
    <n v="78790"/>
    <x v="1"/>
    <d v="2025-11-10T00:00:00"/>
    <n v="24000"/>
    <s v="Dec"/>
    <d v="2025-12-04T00:00:00"/>
    <n v="54790"/>
    <n v="2"/>
    <n v="1"/>
    <s v="Pending"/>
    <x v="3"/>
    <n v="57"/>
    <s v="Moderate"/>
  </r>
  <r>
    <x v="150"/>
    <s v="Hayaghat, Darbhanga"/>
    <x v="4"/>
    <n v="1724520"/>
    <x v="0"/>
    <d v="2026-01-11T00:00:00"/>
    <n v="1375200"/>
    <s v="Dec"/>
    <d v="2025-12-05T00:00:00"/>
    <n v="349320"/>
    <n v="5"/>
    <n v="3"/>
    <s v="Pending"/>
    <x v="0"/>
    <n v="56"/>
    <s v="Moderate"/>
  </r>
  <r>
    <x v="151"/>
    <s v="Main Benipur"/>
    <x v="7"/>
    <n v="227450"/>
    <x v="0"/>
    <d v="2026-01-28T00:00:00"/>
    <n v="179950"/>
    <s v="Jan"/>
    <d v="2026-01-30T00:00:00"/>
    <n v="47500"/>
    <n v="1"/>
    <n v="4"/>
    <s v="Pending"/>
    <x v="3"/>
    <n v="0"/>
    <s v="Active"/>
  </r>
  <r>
    <x v="152"/>
    <s v="Ranti"/>
    <x v="5"/>
    <n v="211000"/>
    <x v="0"/>
    <d v="2026-01-02T00:00:00"/>
    <n v="200000"/>
    <s v="Nov"/>
    <d v="2025-11-12T00:00:00"/>
    <n v="11000"/>
    <n v="2"/>
    <n v="2"/>
    <s v="Pending"/>
    <x v="4"/>
    <n v="79"/>
    <s v="Inactive"/>
  </r>
  <r>
    <x v="153"/>
    <s v="Hospital Road, Near High School"/>
    <x v="4"/>
    <n v="2116520"/>
    <x v="1"/>
    <d v="2025-11-10T00:00:00"/>
    <n v="1731840"/>
    <s v="Jan"/>
    <d v="2026-01-17T00:00:00"/>
    <n v="384680"/>
    <n v="4"/>
    <n v="8"/>
    <s v="Pending"/>
    <x v="1"/>
    <n v="13"/>
    <s v="Active"/>
  </r>
  <r>
    <x v="154"/>
    <s v="Kaluahi, Darbhanga"/>
    <x v="7"/>
    <n v="245520"/>
    <x v="1"/>
    <d v="2025-11-26T00:00:00"/>
    <n v="205250"/>
    <s v="Jan"/>
    <d v="2026-01-27T00:00:00"/>
    <n v="40270"/>
    <n v="1"/>
    <n v="1"/>
    <s v="Pending"/>
    <x v="3"/>
    <n v="3"/>
    <s v="Active"/>
  </r>
  <r>
    <x v="155"/>
    <s v="Sobhan"/>
    <x v="7"/>
    <n v="243250"/>
    <x v="0"/>
    <d v="2026-01-11T00:00:00"/>
    <n v="220590"/>
    <s v="Nov"/>
    <d v="2025-11-23T00:00:00"/>
    <n v="22660"/>
    <n v="6"/>
    <n v="3"/>
    <s v="Pending"/>
    <x v="4"/>
    <n v="68"/>
    <s v="Moderate"/>
  </r>
  <r>
    <x v="156"/>
    <s v="Alinagar Ward 15"/>
    <x v="5"/>
    <n v="1256580"/>
    <x v="0"/>
    <d v="2026-01-24T00:00:00"/>
    <n v="1091110"/>
    <s v="Dec"/>
    <d v="2025-12-09T00:00:00"/>
    <n v="165470"/>
    <n v="4"/>
    <n v="2"/>
    <s v="Pending"/>
    <x v="2"/>
    <n v="52"/>
    <s v="Moderate"/>
  </r>
  <r>
    <x v="157"/>
    <s v="Alinagar, Cinema Road"/>
    <x v="5"/>
    <n v="1476360"/>
    <x v="2"/>
    <d v="2025-12-18T00:00:00"/>
    <n v="1422080"/>
    <s v="Dec"/>
    <d v="2025-12-18T00:00:00"/>
    <n v="54280"/>
    <n v="5"/>
    <n v="3"/>
    <s v="Pending"/>
    <x v="3"/>
    <n v="43"/>
    <s v="Active"/>
  </r>
  <r>
    <x v="158"/>
    <s v="Kishanpur, Darbhanga"/>
    <x v="7"/>
    <n v="157430"/>
    <x v="0"/>
    <d v="2026-01-17T00:00:00"/>
    <n v="130700"/>
    <s v="Dec"/>
    <d v="2025-12-02T00:00:00"/>
    <n v="26730"/>
    <n v="6"/>
    <n v="3"/>
    <s v="Pending"/>
    <x v="4"/>
    <n v="59"/>
    <s v="Moderate"/>
  </r>
  <r>
    <x v="159"/>
    <s v="Saurath Market"/>
    <x v="4"/>
    <n v="1337040"/>
    <x v="2"/>
    <d v="2025-12-06T00:00:00"/>
    <n v="1069310"/>
    <s v="Dec"/>
    <d v="2025-12-05T00:00:00"/>
    <n v="267730"/>
    <n v="3"/>
    <n v="2"/>
    <s v="Pending"/>
    <x v="0"/>
    <n v="56"/>
    <s v="Moderate"/>
  </r>
  <r>
    <x v="160"/>
    <s v="West Hayaghat"/>
    <x v="6"/>
    <n v="1696110"/>
    <x v="2"/>
    <d v="2025-12-07T00:00:00"/>
    <n v="1497430"/>
    <s v="Jan"/>
    <d v="2026-01-09T00:00:00"/>
    <n v="198680"/>
    <n v="1"/>
    <n v="2"/>
    <s v="Pending"/>
    <x v="2"/>
    <n v="21"/>
    <s v="Active"/>
  </r>
  <r>
    <x v="161"/>
    <s v="Biraul Ghat"/>
    <x v="7"/>
    <n v="138860"/>
    <x v="2"/>
    <d v="2025-12-26T00:00:00"/>
    <n v="126390"/>
    <s v="Jan"/>
    <d v="2026-01-19T00:00:00"/>
    <n v="12470"/>
    <n v="6"/>
    <n v="4"/>
    <s v="Pending"/>
    <x v="4"/>
    <n v="11"/>
    <s v="Active"/>
  </r>
  <r>
    <x v="162"/>
    <s v="Benta, Near High School"/>
    <x v="7"/>
    <n v="237500"/>
    <x v="0"/>
    <d v="2026-01-29T00:00:00"/>
    <n v="220710"/>
    <s v="Nov"/>
    <d v="2025-11-15T00:00:00"/>
    <n v="16790"/>
    <n v="4"/>
    <n v="2"/>
    <s v="Pending"/>
    <x v="4"/>
    <n v="76"/>
    <s v="Inactive"/>
  </r>
  <r>
    <x v="163"/>
    <s v="Bakerganj Ward 13"/>
    <x v="7"/>
    <n v="189120"/>
    <x v="2"/>
    <d v="2025-12-19T00:00:00"/>
    <n v="165220"/>
    <s v="Jan"/>
    <d v="2026-01-25T00:00:00"/>
    <n v="23900"/>
    <n v="6"/>
    <n v="1"/>
    <s v="Pending"/>
    <x v="4"/>
    <n v="5"/>
    <s v="Active"/>
  </r>
  <r>
    <x v="164"/>
    <s v="Jhanjharpur, Cinema Road"/>
    <x v="7"/>
    <n v="118000"/>
    <x v="0"/>
    <d v="2026-01-26T00:00:00"/>
    <n v="100000"/>
    <s v="Dec"/>
    <d v="2025-12-12T00:00:00"/>
    <n v="18000"/>
    <n v="1"/>
    <n v="4"/>
    <s v="Pending"/>
    <x v="4"/>
    <n v="49"/>
    <s v="Moderate"/>
  </r>
  <r>
    <x v="165"/>
    <s v="Khahauli"/>
    <x v="6"/>
    <n v="12980"/>
    <x v="1"/>
    <d v="2025-11-11T00:00:00"/>
    <n v="2800"/>
    <s v="Dec"/>
    <d v="2025-12-24T00:00:00"/>
    <n v="10180"/>
    <n v="1"/>
    <n v="1"/>
    <s v="Pending"/>
    <x v="4"/>
    <n v="37"/>
    <s v="Active"/>
  </r>
  <r>
    <x v="166"/>
    <s v="Madhepur, Madhubani"/>
    <x v="5"/>
    <n v="184490"/>
    <x v="2"/>
    <d v="2025-12-07T00:00:00"/>
    <n v="156490"/>
    <s v="Jan"/>
    <d v="2026-01-04T00:00:00"/>
    <n v="28000"/>
    <n v="3"/>
    <n v="3"/>
    <s v="Pending"/>
    <x v="4"/>
    <n v="26"/>
    <s v="Active"/>
  </r>
  <r>
    <x v="167"/>
    <s v="Tower Chowk Ward 2"/>
    <x v="7"/>
    <n v="22800"/>
    <x v="1"/>
    <d v="2025-11-23T00:00:00"/>
    <n v="22200"/>
    <s v="Jan"/>
    <d v="2026-01-25T00:00:00"/>
    <n v="600"/>
    <n v="1"/>
    <n v="1"/>
    <s v="Settled"/>
    <x v="4"/>
    <n v="5"/>
    <s v="Active"/>
  </r>
  <r>
    <x v="168"/>
    <s v="Benipur"/>
    <x v="6"/>
    <n v="199400"/>
    <x v="2"/>
    <d v="2025-12-10T00:00:00"/>
    <n v="90000"/>
    <s v="Dec"/>
    <d v="2025-12-10T00:00:00"/>
    <n v="109400"/>
    <n v="0"/>
    <n v="2"/>
    <s v="Pending"/>
    <x v="2"/>
    <n v="51"/>
    <s v="Moderate"/>
  </r>
  <r>
    <x v="169"/>
    <s v="Supaul"/>
    <x v="5"/>
    <n v="65470"/>
    <x v="2"/>
    <d v="2025-12-12T00:00:00"/>
    <n v="10000"/>
    <s v="Jan"/>
    <d v="2026-01-01T00:00:00"/>
    <n v="55470"/>
    <n v="1"/>
    <n v="3"/>
    <s v="Pending"/>
    <x v="3"/>
    <n v="29"/>
    <s v="Active"/>
  </r>
  <r>
    <x v="170"/>
    <s v="Sarisab Pahi, Near High School"/>
    <x v="7"/>
    <n v="12500"/>
    <x v="2"/>
    <d v="2025-12-29T00:00:00"/>
    <n v="4000"/>
    <s v="Jan"/>
    <d v="2026-01-13T00:00:00"/>
    <n v="8500"/>
    <n v="1"/>
    <n v="1"/>
    <s v="Pending"/>
    <x v="4"/>
    <n v="17"/>
    <s v="Active"/>
  </r>
  <r>
    <x v="171"/>
    <s v="Babubarhi"/>
    <x v="6"/>
    <n v="79700"/>
    <x v="1"/>
    <d v="2025-11-13T00:00:00"/>
    <n v="60000"/>
    <s v="Dec"/>
    <d v="2025-12-21T00:00:00"/>
    <n v="19700"/>
    <n v="2"/>
    <n v="1"/>
    <s v="Pending"/>
    <x v="4"/>
    <n v="40"/>
    <s v="Active"/>
  </r>
  <r>
    <x v="172"/>
    <s v="Sakatpur"/>
    <x v="6"/>
    <n v="170000"/>
    <x v="0"/>
    <d v="2026-01-23T00:00:00"/>
    <n v="120000"/>
    <s v="Dec"/>
    <d v="2025-12-04T00:00:00"/>
    <n v="50000"/>
    <n v="4"/>
    <n v="3"/>
    <s v="Pending"/>
    <x v="3"/>
    <n v="57"/>
    <s v="Moderate"/>
  </r>
  <r>
    <x v="173"/>
    <s v="Bengra, Darbhanga"/>
    <x v="5"/>
    <n v="1897950"/>
    <x v="0"/>
    <d v="2026-01-03T00:00:00"/>
    <n v="1826830"/>
    <s v="Nov"/>
    <d v="2025-11-20T00:00:00"/>
    <n v="71120"/>
    <n v="3"/>
    <n v="3"/>
    <s v="Pending"/>
    <x v="3"/>
    <n v="71"/>
    <s v="Moderate"/>
  </r>
  <r>
    <x v="174"/>
    <s v="Saurath Asthan"/>
    <x v="4"/>
    <n v="2196560"/>
    <x v="2"/>
    <d v="2025-12-04T00:00:00"/>
    <n v="2047430"/>
    <s v="Dec"/>
    <d v="2025-12-29T00:00:00"/>
    <n v="149130"/>
    <n v="6"/>
    <n v="3"/>
    <s v="Pending"/>
    <x v="2"/>
    <n v="32"/>
    <s v="Active"/>
  </r>
  <r>
    <x v="175"/>
    <s v="Lakhnaur Ward 6"/>
    <x v="6"/>
    <n v="2229100"/>
    <x v="2"/>
    <d v="2025-12-22T00:00:00"/>
    <n v="1960200"/>
    <s v="Nov"/>
    <d v="2025-11-10T00:00:00"/>
    <n v="268900"/>
    <n v="1"/>
    <n v="3"/>
    <s v="Pending"/>
    <x v="0"/>
    <n v="81"/>
    <s v="Inactive"/>
  </r>
  <r>
    <x v="176"/>
    <s v="Donar"/>
    <x v="4"/>
    <n v="2273980"/>
    <x v="0"/>
    <d v="2026-01-12T00:00:00"/>
    <n v="2122050"/>
    <s v="Dec"/>
    <d v="2025-12-21T00:00:00"/>
    <n v="151930"/>
    <n v="9"/>
    <n v="3"/>
    <s v="Pending"/>
    <x v="2"/>
    <n v="40"/>
    <s v="Active"/>
  </r>
  <r>
    <x v="177"/>
    <s v="Shivnaharghat"/>
    <x v="5"/>
    <n v="159000"/>
    <x v="1"/>
    <d v="2025-11-15T00:00:00"/>
    <n v="89380"/>
    <s v="Jan"/>
    <d v="2026-01-24T00:00:00"/>
    <n v="69620"/>
    <n v="4"/>
    <n v="4"/>
    <s v="Pending"/>
    <x v="3"/>
    <n v="6"/>
    <s v="Active"/>
  </r>
  <r>
    <x v="178"/>
    <s v="Bisfi Ward 6"/>
    <x v="6"/>
    <n v="2326920"/>
    <x v="0"/>
    <d v="2026-01-08T00:00:00"/>
    <n v="2171320"/>
    <s v="Dec"/>
    <d v="2025-12-02T00:00:00"/>
    <n v="155600"/>
    <n v="11"/>
    <n v="14"/>
    <s v="Pending"/>
    <x v="2"/>
    <n v="59"/>
    <s v="Moderate"/>
  </r>
  <r>
    <x v="179"/>
    <s v="Bharwara Ward 1"/>
    <x v="6"/>
    <n v="12100"/>
    <x v="2"/>
    <d v="2025-12-24T00:00:00"/>
    <n v="10340"/>
    <s v="Jan"/>
    <d v="2026-01-31T00:00:00"/>
    <n v="1760"/>
    <n v="1"/>
    <n v="2"/>
    <s v="Settled"/>
    <x v="4"/>
    <n v="-1"/>
    <s v="Active"/>
  </r>
  <r>
    <x v="180"/>
    <s v="Jale"/>
    <x v="4"/>
    <n v="1930390"/>
    <x v="2"/>
    <d v="2025-12-28T00:00:00"/>
    <n v="1801460"/>
    <s v="Dec"/>
    <d v="2025-12-01T00:00:00"/>
    <n v="128930"/>
    <n v="2"/>
    <n v="4"/>
    <s v="Pending"/>
    <x v="2"/>
    <n v="60"/>
    <s v="Moderate"/>
  </r>
  <r>
    <x v="181"/>
    <s v="Khajauli Ward 13"/>
    <x v="6"/>
    <n v="1639830"/>
    <x v="0"/>
    <d v="2026-01-17T00:00:00"/>
    <n v="1247130"/>
    <s v="Dec"/>
    <d v="2025-12-15T00:00:00"/>
    <n v="392700"/>
    <n v="5"/>
    <n v="3"/>
    <s v="Pending"/>
    <x v="1"/>
    <n v="46"/>
    <s v="Moderate"/>
  </r>
  <r>
    <x v="182"/>
    <s v="Main Saurath"/>
    <x v="4"/>
    <n v="1082080"/>
    <x v="2"/>
    <d v="2025-12-03T00:00:00"/>
    <n v="972330"/>
    <s v="Dec"/>
    <d v="2025-12-20T00:00:00"/>
    <n v="109750"/>
    <n v="1"/>
    <n v="1"/>
    <s v="Pending"/>
    <x v="2"/>
    <n v="41"/>
    <s v="Active"/>
  </r>
  <r>
    <x v="183"/>
    <s v="South Khutauna"/>
    <x v="4"/>
    <n v="2337540"/>
    <x v="2"/>
    <d v="2025-12-26T00:00:00"/>
    <n v="2018910"/>
    <s v="Nov"/>
    <d v="2025-11-25T00:00:00"/>
    <n v="318630"/>
    <n v="2"/>
    <n v="3"/>
    <s v="Pending"/>
    <x v="0"/>
    <n v="66"/>
    <s v="Moderate"/>
  </r>
  <r>
    <x v="184"/>
    <s v="Madhepur, Darbhanga"/>
    <x v="5"/>
    <n v="186070"/>
    <x v="1"/>
    <d v="2025-11-19T00:00:00"/>
    <n v="183950"/>
    <s v="Dec"/>
    <d v="2025-12-14T00:00:00"/>
    <n v="2120"/>
    <n v="5"/>
    <n v="2"/>
    <s v="Settled"/>
    <x v="4"/>
    <n v="47"/>
    <s v="Moderate"/>
  </r>
  <r>
    <x v="185"/>
    <s v="Bhowara, Darbhanga"/>
    <x v="5"/>
    <n v="1002370"/>
    <x v="0"/>
    <d v="2026-01-25T00:00:00"/>
    <n v="736360"/>
    <s v="Jan"/>
    <d v="2026-01-14T00:00:00"/>
    <n v="266010"/>
    <n v="6"/>
    <n v="2"/>
    <s v="Pending"/>
    <x v="0"/>
    <n v="16"/>
    <s v="Active"/>
  </r>
  <r>
    <x v="186"/>
    <s v="Muzaffarpur Road Ward 9"/>
    <x v="4"/>
    <n v="1040690"/>
    <x v="2"/>
    <d v="2025-12-11T00:00:00"/>
    <n v="649120"/>
    <s v="Jan"/>
    <d v="2026-01-10T00:00:00"/>
    <n v="391570"/>
    <n v="3"/>
    <n v="4"/>
    <s v="Pending"/>
    <x v="1"/>
    <n v="20"/>
    <s v="Active"/>
  </r>
  <r>
    <x v="187"/>
    <s v="Supaul"/>
    <x v="5"/>
    <n v="129000"/>
    <x v="2"/>
    <d v="2025-12-19T00:00:00"/>
    <n v="120000"/>
    <s v="Jan"/>
    <d v="2026-01-29T00:00:00"/>
    <n v="9000"/>
    <n v="4"/>
    <n v="4"/>
    <s v="Pending"/>
    <x v="4"/>
    <n v="1"/>
    <s v="Active"/>
  </r>
  <r>
    <x v="188"/>
    <s v="Jhanjharpur "/>
    <x v="6"/>
    <n v="14020"/>
    <x v="0"/>
    <d v="2026-01-26T00:00:00"/>
    <n v="14000"/>
    <s v="Jan"/>
    <d v="2026-01-21T00:00:00"/>
    <n v="20"/>
    <n v="1"/>
    <n v="1"/>
    <s v="Settled"/>
    <x v="4"/>
    <n v="9"/>
    <s v="Active"/>
  </r>
  <r>
    <x v="189"/>
    <s v="Bhagwatipur"/>
    <x v="4"/>
    <n v="140000"/>
    <x v="2"/>
    <d v="2025-12-05T00:00:00"/>
    <n v="40000"/>
    <s v="Dec"/>
    <d v="2025-12-28T00:00:00"/>
    <n v="100000"/>
    <n v="0"/>
    <n v="1"/>
    <s v="Pending"/>
    <x v="3"/>
    <n v="33"/>
    <s v="Active"/>
  </r>
  <r>
    <x v="190"/>
    <s v="Supaul"/>
    <x v="5"/>
    <n v="12570"/>
    <x v="0"/>
    <d v="2026-01-24T00:00:00"/>
    <n v="5500"/>
    <s v="Jan"/>
    <d v="2026-01-22T00:00:00"/>
    <n v="7070"/>
    <n v="1"/>
    <n v="4"/>
    <s v="Pending"/>
    <x v="4"/>
    <n v="8"/>
    <s v="Active"/>
  </r>
  <r>
    <x v="191"/>
    <s v="Sakri, Madhubani"/>
    <x v="5"/>
    <n v="2465580"/>
    <x v="1"/>
    <d v="2025-11-30T00:00:00"/>
    <n v="2037210"/>
    <s v="Jan"/>
    <d v="2026-01-06T00:00:00"/>
    <n v="428370"/>
    <n v="3"/>
    <n v="3"/>
    <s v="Pending"/>
    <x v="1"/>
    <n v="24"/>
    <s v="Active"/>
  </r>
  <r>
    <x v="192"/>
    <s v="Gangwara, Hospital Road"/>
    <x v="5"/>
    <n v="1958960"/>
    <x v="1"/>
    <d v="2025-11-27T00:00:00"/>
    <n v="1935400"/>
    <s v="Nov"/>
    <d v="2025-11-17T00:00:00"/>
    <n v="23560"/>
    <n v="1"/>
    <n v="2"/>
    <s v="Pending"/>
    <x v="4"/>
    <n v="74"/>
    <s v="Moderate"/>
  </r>
  <r>
    <x v="193"/>
    <s v="Rajnagar Ward 3"/>
    <x v="6"/>
    <n v="2260900"/>
    <x v="0"/>
    <d v="2026-01-11T00:00:00"/>
    <n v="2069930"/>
    <s v="Nov"/>
    <d v="2025-11-21T00:00:00"/>
    <n v="190970"/>
    <n v="5"/>
    <n v="1"/>
    <s v="Pending"/>
    <x v="2"/>
    <n v="70"/>
    <s v="Moderate"/>
  </r>
  <r>
    <x v="194"/>
    <s v="Madhepur"/>
    <x v="4"/>
    <n v="149000"/>
    <x v="1"/>
    <d v="2025-11-11T00:00:00"/>
    <n v="100000"/>
    <s v="Dec"/>
    <d v="2025-12-30T00:00:00"/>
    <n v="49000"/>
    <n v="3"/>
    <n v="2"/>
    <s v="Pending"/>
    <x v="3"/>
    <n v="31"/>
    <s v="Active"/>
  </r>
  <r>
    <x v="195"/>
    <s v="Mirjapur"/>
    <x v="6"/>
    <n v="65670"/>
    <x v="0"/>
    <d v="2026-01-13T00:00:00"/>
    <n v="37000"/>
    <s v="Jan"/>
    <d v="2026-01-29T00:00:00"/>
    <n v="28670"/>
    <n v="1"/>
    <n v="4"/>
    <s v="Pending"/>
    <x v="4"/>
    <n v="1"/>
    <s v="Active"/>
  </r>
  <r>
    <x v="196"/>
    <s v="Madhubani, Darbhanga"/>
    <x v="5"/>
    <n v="1344340"/>
    <x v="0"/>
    <d v="2026-01-19T00:00:00"/>
    <n v="1017210"/>
    <s v="Dec"/>
    <d v="2025-12-27T00:00:00"/>
    <n v="327130"/>
    <n v="2"/>
    <n v="1"/>
    <s v="Pending"/>
    <x v="0"/>
    <n v="34"/>
    <s v="Active"/>
  </r>
  <r>
    <x v="197"/>
    <s v="North Narahiya"/>
    <x v="5"/>
    <n v="1317850"/>
    <x v="0"/>
    <d v="2026-01-13T00:00:00"/>
    <n v="999050"/>
    <s v="Nov"/>
    <d v="2025-11-23T00:00:00"/>
    <n v="318800"/>
    <n v="2"/>
    <n v="4"/>
    <s v="Pending"/>
    <x v="0"/>
    <n v="68"/>
    <s v="Moderate"/>
  </r>
  <r>
    <x v="198"/>
    <s v="Hajipur"/>
    <x v="6"/>
    <n v="890000"/>
    <x v="2"/>
    <d v="2025-12-30T00:00:00"/>
    <n v="331610"/>
    <s v="Jan"/>
    <d v="2026-01-31T00:00:00"/>
    <n v="558390"/>
    <n v="8"/>
    <n v="6"/>
    <s v="Pending"/>
    <x v="1"/>
    <n v="-1"/>
    <s v="Active"/>
  </r>
  <r>
    <x v="199"/>
    <s v="Anhrathari"/>
    <x v="6"/>
    <n v="12890"/>
    <x v="0"/>
    <d v="2026-01-21T00:00:00"/>
    <n v="2600"/>
    <s v="Dec"/>
    <d v="2025-12-16T00:00:00"/>
    <n v="10290"/>
    <n v="1"/>
    <n v="1"/>
    <s v="Pending"/>
    <x v="4"/>
    <n v="45"/>
    <s v="Active"/>
  </r>
  <r>
    <x v="200"/>
    <m/>
    <x v="8"/>
    <m/>
    <x v="3"/>
    <m/>
    <m/>
    <m/>
    <m/>
    <m/>
    <m/>
    <m/>
    <m/>
    <x v="5"/>
    <m/>
    <m/>
  </r>
  <r>
    <x v="200"/>
    <m/>
    <x v="8"/>
    <m/>
    <x v="3"/>
    <m/>
    <m/>
    <m/>
    <m/>
    <m/>
    <m/>
    <m/>
    <m/>
    <x v="5"/>
    <m/>
    <m/>
  </r>
  <r>
    <x v="200"/>
    <m/>
    <x v="8"/>
    <m/>
    <x v="3"/>
    <m/>
    <m/>
    <m/>
    <m/>
    <m/>
    <m/>
    <m/>
    <m/>
    <x v="5"/>
    <m/>
    <m/>
  </r>
  <r>
    <x v="200"/>
    <m/>
    <x v="8"/>
    <m/>
    <x v="3"/>
    <m/>
    <m/>
    <m/>
    <m/>
    <m/>
    <m/>
    <m/>
    <m/>
    <x v="5"/>
    <m/>
    <m/>
  </r>
  <r>
    <x v="200"/>
    <m/>
    <x v="8"/>
    <m/>
    <x v="3"/>
    <m/>
    <m/>
    <m/>
    <m/>
    <m/>
    <m/>
    <m/>
    <m/>
    <x v="5"/>
    <m/>
    <m/>
  </r>
  <r>
    <x v="200"/>
    <m/>
    <x v="8"/>
    <m/>
    <x v="3"/>
    <m/>
    <m/>
    <m/>
    <m/>
    <m/>
    <m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ACA32-328F-45C9-B23D-F56969227EF3}" name="PivotTable2" cacheId="615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1">
  <location ref="B1:E10" firstHeaderRow="0" firstDataRow="1" firstDataCol="1"/>
  <pivotFields count="17">
    <pivotField compact="0" outline="0" showAll="0"/>
    <pivotField compact="0" outline="0" showAll="0"/>
    <pivotField axis="axisRow" compact="0" outline="0" showAll="0" sortType="descending">
      <items count="9">
        <item x="7"/>
        <item x="3"/>
        <item x="2"/>
        <item x="1"/>
        <item x="0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outline="0" showAll="0"/>
    <pivotField compact="0" outline="0" showAll="0"/>
    <pivotField compact="0" numFmtId="15" outline="0" showAll="0"/>
    <pivotField dataField="1" compact="0" outline="0" showAll="0"/>
    <pivotField compact="0" outline="0" showAll="0"/>
    <pivotField compact="0" numFmtId="15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5"/>
    </i>
    <i>
      <x v="1"/>
    </i>
    <i>
      <x v="2"/>
    </i>
    <i>
      <x v="6"/>
    </i>
    <i>
      <x v="3"/>
    </i>
    <i>
      <x v="4"/>
    </i>
    <i>
      <x v="7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" fld="3" baseField="0" baseItem="0" numFmtId="3"/>
    <dataField name=" Total Payment" fld="6" baseField="0" baseItem="0" numFmtId="3"/>
    <dataField name="Total Due" fld="9" baseField="0" baseItem="0" numFmtId="3"/>
  </dataFields>
  <formats count="20">
    <format dxfId="98">
      <pivotArea outline="0" fieldPosition="0">
        <references count="1">
          <reference field="4294967294" count="1" selected="0">
            <x v="0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0">
      <pivotArea outline="0" fieldPosition="0">
        <references count="1">
          <reference field="4294967294" count="1" selected="0">
            <x v="1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">
      <pivotArea outline="0" fieldPosition="0">
        <references count="1">
          <reference field="4294967294" count="1" selected="0">
            <x v="2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4">
      <pivotArea field="2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6">
      <pivotArea field="2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8">
      <pivotArea field="2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0">
      <pivotArea outline="0" collapsedLevelsAreSubtotals="1" fieldPosition="0"/>
    </format>
    <format dxfId="111">
      <pivotArea field="2" type="button" dataOnly="0" labelOnly="1" outline="0" axis="axisRow" fieldPosition="0"/>
    </format>
    <format dxfId="112">
      <pivotArea dataOnly="0" labelOnly="1" outline="0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  <format dxfId="114">
      <pivotArea dataOnly="0" labelOnly="1" outline="0" fieldPosition="0">
        <references count="1">
          <reference field="2" count="0"/>
        </references>
      </pivotArea>
    </format>
    <format dxfId="115">
      <pivotArea dataOnly="0" labelOnly="1" grandRow="1" outline="0" fieldPosition="0"/>
    </format>
    <format dxfId="116">
      <pivotArea field="2" type="button" dataOnly="0" labelOnly="1" outline="0" axis="axisRow" fieldPosition="0"/>
    </format>
    <format dxfId="1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2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408D3-23DF-45D5-9975-7066546E419D}" name="PivotTable4" cacheId="6159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 chartFormat="9">
  <location ref="B1:D5" firstHeaderRow="0" firstDataRow="1" firstDataCol="1"/>
  <pivotFields count="17">
    <pivotField dataField="1" compact="0" outline="0" showAll="0"/>
    <pivotField compact="0" outline="0" showAll="0"/>
    <pivotField compact="0" outline="0" showAll="0">
      <items count="9">
        <item x="7"/>
        <item x="3"/>
        <item x="2"/>
        <item x="1"/>
        <item x="0"/>
        <item x="4"/>
        <item x="6"/>
        <item x="5"/>
        <item t="default"/>
      </items>
    </pivotField>
    <pivotField compact="0" outline="0" showAll="0"/>
    <pivotField compact="0" outline="0" showAll="0"/>
    <pivotField compact="0" numFmtId="15" outline="0" showAll="0"/>
    <pivotField compact="0" outline="0" showAll="0"/>
    <pivotField compact="0" outline="0" showAll="0"/>
    <pivotField compact="0" numFmtId="15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lient " fld="0" subtotal="count" baseField="0" baseItem="0"/>
    <dataField name="Total Due" fld="9" baseField="0" baseItem="0" numFmtId="3"/>
  </dataFields>
  <formats count="14">
    <format dxfId="84">
      <pivotArea outline="0" fieldPosition="0">
        <references count="1">
          <reference field="4294967294" count="1" selected="0">
            <x v="1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">
      <pivotArea type="all" dataOnly="0" outline="0" fieldPosition="0"/>
    </format>
    <format dxfId="87">
      <pivotArea outline="0" collapsedLevelsAreSubtotals="1" fieldPosition="0"/>
    </format>
    <format dxfId="88">
      <pivotArea field="15" type="button" dataOnly="0" labelOnly="1" outline="0" axis="axisRow" fieldPosition="0"/>
    </format>
    <format dxfId="89">
      <pivotArea dataOnly="0" labelOnly="1" outline="0" fieldPosition="0">
        <references count="1">
          <reference field="15" count="0"/>
        </references>
      </pivotArea>
    </format>
    <format dxfId="90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type="all" dataOnly="0" outline="0" fieldPosition="0"/>
    </format>
    <format dxfId="93">
      <pivotArea outline="0" collapsedLevelsAreSubtotals="1" fieldPosition="0"/>
    </format>
    <format dxfId="94">
      <pivotArea field="15" type="button" dataOnly="0" labelOnly="1" outline="0" axis="axisRow" fieldPosition="0"/>
    </format>
    <format dxfId="95">
      <pivotArea dataOnly="0" labelOnly="1" outline="0" fieldPosition="0">
        <references count="1">
          <reference field="15" count="0"/>
        </references>
      </pivotArea>
    </format>
    <format dxfId="96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7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8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05850-B023-451A-8C0B-7C7E2C22BF0C}" name="PivotTable3" cacheId="6159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 chartFormat="18">
  <location ref="B5:D11" firstHeaderRow="0" firstDataRow="1" firstDataCol="1"/>
  <pivotFields count="17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5" outline="0" showAll="0"/>
    <pivotField compact="0" outline="0" showAll="0"/>
    <pivotField compact="0" outline="0" showAll="0"/>
    <pivotField compact="0" numFmtId="15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m="1" x="5"/>
        <item x="4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" fld="3" baseField="0" baseItem="0" numFmtId="3"/>
    <dataField name="Sum of DUE" fld="9" baseField="0" baseItem="0"/>
  </dataFields>
  <formats count="2">
    <format dxfId="82">
      <pivotArea outline="0" fieldPosition="0">
        <references count="1">
          <reference field="4294967294" count="1" selected="0">
            <x v="0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8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DE22F-2B55-4868-809E-D55E4CD775A0}" name="PivotTable1" cacheId="6159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 chartFormat="21">
  <location ref="B7:C16" firstHeaderRow="1" firstDataRow="1" firstDataCol="1"/>
  <pivotFields count="17"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sortType="descending" defaultSubtotal="0">
      <items count="8">
        <item x="5"/>
        <item x="6"/>
        <item x="4"/>
        <item x="0"/>
        <item x="1"/>
        <item x="2"/>
        <item x="3"/>
        <item x="7"/>
      </items>
    </pivotField>
    <pivotField compact="0" outline="0" showAll="0" defaultSubtotal="0"/>
    <pivotField compact="0" outline="0" showAll="0" defaultSubtotal="0"/>
    <pivotField compact="0" numFmtId="15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DUE" fld="9" baseField="0" baseItem="0"/>
  </dataFields>
  <formats count="3">
    <format dxfId="79">
      <pivotArea outline="0" collapsedLevelsAreSubtotals="1" fieldPosition="0"/>
    </format>
    <format dxfId="80">
      <pivotArea dataOnly="0" labelOnly="1" outline="0" axis="axisValues" fieldPosition="0"/>
    </format>
    <format dxfId="81">
      <pivotArea dataOnly="0" labelOnly="1" grandRow="1" outline="0" fieldPosition="0"/>
    </format>
  </formats>
  <chartFormats count="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297C6-5E34-42C3-899E-FF7CBFB9356B}" name="PivotTable7" cacheId="6167" applyNumberFormats="0" applyBorderFormats="0" applyFontFormats="0" applyPatternFormats="0" applyAlignmentFormats="0" applyWidthHeightFormats="1" dataCaption="Values" showMissing="0" updatedVersion="8" minRefreshableVersion="3" itemPrintTitles="1" createdVersion="8" indent="0" compact="0" compactData="0" multipleFieldFilters="0" chartFormat="9">
  <location ref="B1:D5" firstHeaderRow="0" firstDataRow="1" firstDataCol="1"/>
  <pivotFields count="16">
    <pivotField compact="0" outline="0" showAll="0"/>
    <pivotField compact="0" outline="0" showAll="0"/>
    <pivotField compact="0" outline="0" showAll="0">
      <items count="10">
        <item x="7"/>
        <item x="3"/>
        <item x="2"/>
        <item x="1"/>
        <item x="0"/>
        <item x="4"/>
        <item x="6"/>
        <item x="5"/>
        <item x="8"/>
        <item t="default"/>
      </items>
    </pivotField>
    <pivotField dataField="1" compact="0" outline="0" showAll="0"/>
    <pivotField axis="axisRow" compact="0" outline="0" showAll="0" sortType="ascending">
      <items count="8">
        <item x="0"/>
        <item m="1" x="4"/>
        <item m="1" x="5"/>
        <item m="1" x="6"/>
        <item x="1"/>
        <item x="2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ALE" fld="3" baseField="0" baseItem="0" numFmtId="3"/>
    <dataField name="Collection" fld="6" baseField="0" baseItem="0" numFmtId="3"/>
  </dataFields>
  <formats count="50"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field="4" type="button" dataOnly="0" labelOnly="1" outline="0" axis="axisRow" fieldPosition="0"/>
    </format>
    <format dxfId="32">
      <pivotArea dataOnly="0" labelOnly="1" outline="0" fieldPosition="0">
        <references count="1">
          <reference field="4" count="0"/>
        </references>
      </pivotArea>
    </format>
    <format dxfId="33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outline="0" fieldPosition="0">
        <references count="1">
          <reference field="4294967294" count="1" selected="0">
            <x v="0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outline="0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">
      <pivotArea field="4" type="button" dataOnly="0" labelOnly="1" outline="0" axis="axisRow" fieldPosition="0"/>
    </format>
    <format dxfId="42">
      <pivotArea type="all" dataOnly="0" outline="0" fieldPosition="0"/>
    </format>
    <format dxfId="43">
      <pivotArea field="4" type="button" dataOnly="0" labelOnly="1" outline="0" axis="axisRow" fieldPosition="0"/>
    </format>
    <format dxfId="44">
      <pivotArea dataOnly="0" labelOnly="1" outline="0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4" type="button" dataOnly="0" labelOnly="1" outline="0" axis="axisRow" fieldPosition="0"/>
    </format>
    <format dxfId="48">
      <pivotArea dataOnly="0" labelOnly="1" outline="0" fieldPosition="0">
        <references count="1">
          <reference field="4" count="0"/>
        </references>
      </pivotArea>
    </format>
    <format dxfId="49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dataOnly="0" labelOnly="1" grandRow="1" outline="0" fieldPosition="0"/>
    </format>
    <format dxfId="52">
      <pivotArea grandRow="1" outline="0" collapsedLevelsAreSubtotals="1" fieldPosition="0"/>
    </format>
    <format dxfId="53">
      <pivotArea type="all" dataOnly="0" outline="0" fieldPosition="0"/>
    </format>
    <format dxfId="54">
      <pivotArea field="4" type="button" dataOnly="0" labelOnly="1" outline="0" axis="axisRow" fieldPosition="0"/>
    </format>
    <format dxfId="55">
      <pivotArea dataOnly="0" labelOnly="1" outline="0" fieldPosition="0">
        <references count="1">
          <reference field="4" count="0"/>
        </references>
      </pivotArea>
    </format>
    <format dxfId="56">
      <pivotArea dataOnly="0" labelOnly="1" grandRow="1" outline="0" fieldPosition="0"/>
    </format>
    <format dxfId="57">
      <pivotArea dataOnly="0" labelOnly="1" outline="0" fieldPosition="0">
        <references count="1">
          <reference field="4" count="0"/>
        </references>
      </pivotArea>
    </format>
    <format dxfId="58">
      <pivotArea dataOnly="0" labelOnly="1" grandRow="1" outline="0" fieldPosition="0"/>
    </format>
    <format dxfId="59">
      <pivotArea field="4" type="button" dataOnly="0" labelOnly="1" outline="0" axis="axisRow" fieldPosition="0"/>
    </format>
    <format dxfId="60">
      <pivotArea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format>
    <format dxfId="61">
      <pivotArea type="all" dataOnly="0" outline="0" fieldPosition="0"/>
    </format>
    <format dxfId="62">
      <pivotArea outline="0" collapsedLevelsAreSubtotals="1" fieldPosition="0"/>
    </format>
    <format dxfId="63">
      <pivotArea field="4" type="button" dataOnly="0" labelOnly="1" outline="0" axis="axisRow" fieldPosition="0"/>
    </format>
    <format dxfId="64">
      <pivotArea dataOnly="0" labelOnly="1" outline="0" fieldPosition="0">
        <references count="1">
          <reference field="4" count="2">
            <x v="0"/>
            <x v="1"/>
          </reference>
        </references>
      </pivotArea>
    </format>
    <format dxfId="65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4" type="button" dataOnly="0" labelOnly="1" outline="0" axis="axisRow" fieldPosition="0"/>
    </format>
    <format dxfId="70">
      <pivotArea dataOnly="0" labelOnly="1" outline="0" fieldPosition="0">
        <references count="1">
          <reference field="4" count="0"/>
        </references>
      </pivotArea>
    </format>
    <format dxfId="71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4" type="button" dataOnly="0" labelOnly="1" outline="0" axis="axisRow" fieldPosition="0"/>
    </format>
    <format dxfId="76">
      <pivotArea dataOnly="0" labelOnly="1" outline="0" fieldPosition="0">
        <references count="1">
          <reference field="4" count="0"/>
        </references>
      </pivotArea>
    </format>
    <format dxfId="77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860F6-33CE-4306-8A6D-E3B410254265}" name="PivotTable1" cacheId="6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05" firstHeaderRow="0" firstDataRow="1" firstDataCol="1" rowPageCount="1" colPageCount="1"/>
  <pivotFields count="16">
    <pivotField axis="axisRow" compact="0" outline="0" showAll="0" sortType="descending">
      <items count="202">
        <item x="147"/>
        <item x="60"/>
        <item x="111"/>
        <item x="170"/>
        <item x="108"/>
        <item x="59"/>
        <item x="138"/>
        <item x="130"/>
        <item x="167"/>
        <item x="58"/>
        <item x="164"/>
        <item x="57"/>
        <item x="107"/>
        <item x="106"/>
        <item x="194"/>
        <item x="104"/>
        <item x="99"/>
        <item x="96"/>
        <item x="121"/>
        <item x="10"/>
        <item x="56"/>
        <item x="165"/>
        <item x="172"/>
        <item x="94"/>
        <item x="163"/>
        <item x="92"/>
        <item x="90"/>
        <item x="162"/>
        <item x="89"/>
        <item x="198"/>
        <item x="193"/>
        <item x="88"/>
        <item x="86"/>
        <item x="175"/>
        <item x="82"/>
        <item x="9"/>
        <item x="55"/>
        <item x="54"/>
        <item x="161"/>
        <item x="158"/>
        <item x="155"/>
        <item x="154"/>
        <item x="199"/>
        <item x="53"/>
        <item x="80"/>
        <item x="79"/>
        <item x="52"/>
        <item x="77"/>
        <item x="76"/>
        <item x="100"/>
        <item x="150"/>
        <item x="8"/>
        <item x="51"/>
        <item x="151"/>
        <item x="113"/>
        <item x="174"/>
        <item x="178"/>
        <item x="50"/>
        <item x="75"/>
        <item x="148"/>
        <item x="49"/>
        <item x="48"/>
        <item x="181"/>
        <item x="73"/>
        <item x="72"/>
        <item x="189"/>
        <item x="70"/>
        <item x="47"/>
        <item x="102"/>
        <item x="146"/>
        <item x="128"/>
        <item x="144"/>
        <item x="142"/>
        <item x="7"/>
        <item x="188"/>
        <item x="141"/>
        <item x="69"/>
        <item x="46"/>
        <item x="68"/>
        <item x="101"/>
        <item x="67"/>
        <item x="139"/>
        <item x="93"/>
        <item x="135"/>
        <item x="143"/>
        <item x="168"/>
        <item x="137"/>
        <item x="66"/>
        <item x="85"/>
        <item x="110"/>
        <item x="65"/>
        <item x="45"/>
        <item x="64"/>
        <item x="44"/>
        <item x="6"/>
        <item x="63"/>
        <item x="30"/>
        <item x="29"/>
        <item x="28"/>
        <item x="136"/>
        <item x="62"/>
        <item x="5"/>
        <item x="134"/>
        <item x="61"/>
        <item x="43"/>
        <item x="27"/>
        <item x="26"/>
        <item x="153"/>
        <item x="185"/>
        <item x="25"/>
        <item x="132"/>
        <item x="177"/>
        <item x="157"/>
        <item x="42"/>
        <item x="186"/>
        <item x="87"/>
        <item x="41"/>
        <item x="40"/>
        <item x="192"/>
        <item x="24"/>
        <item x="152"/>
        <item x="140"/>
        <item x="4"/>
        <item x="191"/>
        <item x="173"/>
        <item x="120"/>
        <item x="23"/>
        <item x="169"/>
        <item x="131"/>
        <item x="129"/>
        <item x="196"/>
        <item x="197"/>
        <item x="39"/>
        <item x="166"/>
        <item x="22"/>
        <item x="184"/>
        <item x="3"/>
        <item x="127"/>
        <item x="2"/>
        <item x="95"/>
        <item x="74"/>
        <item x="21"/>
        <item x="20"/>
        <item x="19"/>
        <item x="18"/>
        <item x="17"/>
        <item x="105"/>
        <item x="112"/>
        <item x="16"/>
        <item x="15"/>
        <item x="38"/>
        <item x="37"/>
        <item x="115"/>
        <item x="1"/>
        <item x="180"/>
        <item x="14"/>
        <item x="125"/>
        <item x="36"/>
        <item x="109"/>
        <item x="13"/>
        <item x="35"/>
        <item x="34"/>
        <item x="187"/>
        <item x="33"/>
        <item x="145"/>
        <item x="12"/>
        <item x="11"/>
        <item x="78"/>
        <item x="160"/>
        <item x="156"/>
        <item x="183"/>
        <item x="159"/>
        <item x="126"/>
        <item x="124"/>
        <item x="118"/>
        <item x="122"/>
        <item x="133"/>
        <item x="182"/>
        <item x="119"/>
        <item x="117"/>
        <item x="179"/>
        <item x="176"/>
        <item x="116"/>
        <item x="114"/>
        <item x="81"/>
        <item x="84"/>
        <item x="103"/>
        <item x="190"/>
        <item x="195"/>
        <item x="98"/>
        <item x="71"/>
        <item x="32"/>
        <item x="31"/>
        <item x="171"/>
        <item x="91"/>
        <item x="0"/>
        <item x="83"/>
        <item x="123"/>
        <item x="97"/>
        <item x="149"/>
        <item x="2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7">
        <item x="1"/>
        <item x="2"/>
        <item x="4"/>
        <item x="3"/>
        <item x="0"/>
        <item x="5"/>
        <item t="default"/>
      </items>
    </pivotField>
    <pivotField compact="0" outline="0" showAll="0"/>
    <pivotField compact="0" outline="0" showAll="0"/>
  </pivotFields>
  <rowFields count="1">
    <field x="0"/>
  </rowFields>
  <rowItems count="202">
    <i>
      <x v="48"/>
    </i>
    <i>
      <x v="29"/>
    </i>
    <i>
      <x v="138"/>
    </i>
    <i>
      <x v="68"/>
    </i>
    <i>
      <x v="166"/>
    </i>
    <i>
      <x v="76"/>
    </i>
    <i>
      <x v="196"/>
    </i>
    <i>
      <x v="123"/>
    </i>
    <i>
      <x v="182"/>
    </i>
    <i>
      <x v="106"/>
    </i>
    <i>
      <x v="51"/>
    </i>
    <i>
      <x v="62"/>
    </i>
    <i>
      <x v="114"/>
    </i>
    <i>
      <x v="107"/>
    </i>
    <i>
      <x v="153"/>
    </i>
    <i>
      <x v="31"/>
    </i>
    <i>
      <x v="88"/>
    </i>
    <i>
      <x v="155"/>
    </i>
    <i>
      <x v="50"/>
    </i>
    <i>
      <x v="57"/>
    </i>
    <i>
      <x v="165"/>
    </i>
    <i>
      <x v="164"/>
    </i>
    <i>
      <x v="130"/>
    </i>
    <i>
      <x v="91"/>
    </i>
    <i>
      <x v="98"/>
    </i>
    <i>
      <x v="13"/>
    </i>
    <i>
      <x v="131"/>
    </i>
    <i>
      <x v="170"/>
    </i>
    <i>
      <x v="95"/>
    </i>
    <i>
      <x v="54"/>
    </i>
    <i>
      <x v="143"/>
    </i>
    <i>
      <x v="109"/>
    </i>
    <i>
      <x v="184"/>
    </i>
    <i>
      <x v="101"/>
    </i>
    <i>
      <x v="121"/>
    </i>
    <i>
      <x v="67"/>
    </i>
    <i>
      <x v="20"/>
    </i>
    <i>
      <x v="195"/>
    </i>
    <i>
      <x v="71"/>
    </i>
    <i>
      <x v="33"/>
    </i>
    <i>
      <x v="171"/>
    </i>
    <i>
      <x v="132"/>
    </i>
    <i>
      <x v="108"/>
    </i>
    <i>
      <x v="11"/>
    </i>
    <i>
      <x v="116"/>
    </i>
    <i>
      <x v="167"/>
    </i>
    <i>
      <x v="117"/>
    </i>
    <i>
      <x v="142"/>
    </i>
    <i>
      <x v="92"/>
    </i>
    <i>
      <x v="5"/>
    </i>
    <i>
      <x v="136"/>
    </i>
    <i>
      <x v="7"/>
    </i>
    <i>
      <x v="89"/>
    </i>
    <i>
      <x v="25"/>
    </i>
    <i>
      <x v="189"/>
    </i>
    <i>
      <x v="197"/>
    </i>
    <i>
      <x v="168"/>
    </i>
    <i>
      <x v="104"/>
    </i>
    <i>
      <x v="58"/>
    </i>
    <i>
      <x v="30"/>
    </i>
    <i>
      <x v="87"/>
    </i>
    <i>
      <x v="129"/>
    </i>
    <i>
      <x v="78"/>
    </i>
    <i>
      <x v="18"/>
    </i>
    <i>
      <x v="82"/>
    </i>
    <i>
      <x v="169"/>
    </i>
    <i>
      <x v="160"/>
    </i>
    <i>
      <x v="100"/>
    </i>
    <i>
      <x v="6"/>
    </i>
    <i>
      <x v="56"/>
    </i>
    <i>
      <x v="12"/>
    </i>
    <i>
      <x v="181"/>
    </i>
    <i>
      <x v="55"/>
    </i>
    <i>
      <x v="73"/>
    </i>
    <i>
      <x v="192"/>
    </i>
    <i>
      <x v="79"/>
    </i>
    <i>
      <x v="83"/>
    </i>
    <i>
      <x v="75"/>
    </i>
    <i>
      <x v="156"/>
    </i>
    <i>
      <x v="26"/>
    </i>
    <i>
      <x v="147"/>
    </i>
    <i>
      <x v="154"/>
    </i>
    <i>
      <x v="122"/>
    </i>
    <i>
      <x v="137"/>
    </i>
    <i>
      <x v="158"/>
    </i>
    <i>
      <x v="66"/>
    </i>
    <i>
      <x v="35"/>
    </i>
    <i>
      <x v="177"/>
    </i>
    <i>
      <x v="85"/>
    </i>
    <i>
      <x v="36"/>
    </i>
    <i>
      <x v="103"/>
    </i>
    <i>
      <x v="86"/>
    </i>
    <i>
      <x v="113"/>
    </i>
    <i>
      <x v="65"/>
    </i>
    <i>
      <x v="28"/>
    </i>
    <i>
      <x v="185"/>
    </i>
    <i>
      <x v="175"/>
    </i>
    <i>
      <x v="94"/>
    </i>
    <i>
      <x v="126"/>
    </i>
    <i>
      <x v="45"/>
    </i>
    <i>
      <x v="61"/>
    </i>
    <i>
      <x v="172"/>
    </i>
    <i>
      <x v="47"/>
    </i>
    <i>
      <x v="194"/>
    </i>
    <i>
      <x v="144"/>
    </i>
    <i>
      <x v="173"/>
    </i>
    <i>
      <x v="124"/>
    </i>
    <i>
      <x v="64"/>
    </i>
    <i>
      <x v="49"/>
    </i>
    <i>
      <x v="111"/>
    </i>
    <i>
      <x v="139"/>
    </i>
    <i>
      <x v="151"/>
    </i>
    <i>
      <x v="115"/>
    </i>
    <i>
      <x v="125"/>
    </i>
    <i>
      <x v="127"/>
    </i>
    <i>
      <x v="199"/>
    </i>
    <i>
      <x v="112"/>
    </i>
    <i>
      <x v="93"/>
    </i>
    <i>
      <x v="146"/>
    </i>
    <i>
      <x v="105"/>
    </i>
    <i>
      <x v="22"/>
    </i>
    <i>
      <x v="152"/>
    </i>
    <i>
      <x v="183"/>
    </i>
    <i>
      <x v="15"/>
    </i>
    <i>
      <x v="14"/>
    </i>
    <i>
      <x v="53"/>
    </i>
    <i>
      <x v="96"/>
    </i>
    <i>
      <x v="176"/>
    </i>
    <i>
      <x v="63"/>
    </i>
    <i>
      <x v="41"/>
    </i>
    <i>
      <x v="17"/>
    </i>
    <i>
      <x v="159"/>
    </i>
    <i>
      <x v="9"/>
    </i>
    <i>
      <x v="52"/>
    </i>
    <i>
      <x v="188"/>
    </i>
    <i>
      <x v="133"/>
    </i>
    <i>
      <x v="19"/>
    </i>
    <i>
      <x v="81"/>
    </i>
    <i>
      <x v="39"/>
    </i>
    <i>
      <x v="102"/>
    </i>
    <i>
      <x v="149"/>
    </i>
    <i>
      <x v="24"/>
    </i>
    <i>
      <x v="118"/>
    </i>
    <i>
      <x v="40"/>
    </i>
    <i>
      <x v="186"/>
    </i>
    <i>
      <x v="193"/>
    </i>
    <i>
      <x v="46"/>
    </i>
    <i>
      <x v="10"/>
    </i>
    <i>
      <x v="119"/>
    </i>
    <i>
      <x/>
    </i>
    <i>
      <x v="27"/>
    </i>
    <i>
      <x v="84"/>
    </i>
    <i>
      <x v="23"/>
    </i>
    <i>
      <x v="99"/>
    </i>
    <i>
      <x v="128"/>
    </i>
    <i>
      <x v="44"/>
    </i>
    <i>
      <x v="38"/>
    </i>
    <i>
      <x v="90"/>
    </i>
    <i>
      <x v="120"/>
    </i>
    <i>
      <x v="145"/>
    </i>
    <i>
      <x v="110"/>
    </i>
    <i>
      <x v="42"/>
    </i>
    <i>
      <x v="21"/>
    </i>
    <i>
      <x v="140"/>
    </i>
    <i>
      <x v="162"/>
    </i>
    <i>
      <x v="3"/>
    </i>
    <i>
      <x v="1"/>
    </i>
    <i>
      <x v="97"/>
    </i>
    <i>
      <x v="163"/>
    </i>
    <i>
      <x v="187"/>
    </i>
    <i>
      <x v="16"/>
    </i>
    <i>
      <x v="134"/>
    </i>
    <i>
      <x v="161"/>
    </i>
    <i>
      <x v="72"/>
    </i>
    <i>
      <x v="43"/>
    </i>
    <i>
      <x v="150"/>
    </i>
    <i>
      <x v="141"/>
    </i>
    <i>
      <x v="80"/>
    </i>
    <i>
      <x v="60"/>
    </i>
    <i>
      <x v="198"/>
    </i>
    <i>
      <x v="4"/>
    </i>
    <i>
      <x v="178"/>
    </i>
    <i>
      <x v="70"/>
    </i>
    <i>
      <x v="2"/>
    </i>
    <i>
      <x v="37"/>
    </i>
    <i>
      <x v="157"/>
    </i>
    <i>
      <x v="77"/>
    </i>
    <i>
      <x v="148"/>
    </i>
    <i>
      <x v="190"/>
    </i>
    <i>
      <x v="179"/>
    </i>
    <i>
      <x v="34"/>
    </i>
    <i>
      <x v="59"/>
    </i>
    <i>
      <x v="174"/>
    </i>
    <i>
      <x v="191"/>
    </i>
    <i>
      <x v="135"/>
    </i>
    <i>
      <x v="69"/>
    </i>
    <i>
      <x v="180"/>
    </i>
    <i>
      <x v="32"/>
    </i>
    <i>
      <x v="8"/>
    </i>
    <i>
      <x v="74"/>
    </i>
    <i>
      <x v="200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-1"/>
  </pageFields>
  <dataFields count="2">
    <dataField name="Sum of DUE" fld="9" baseField="0" baseItem="0" numFmtId="3"/>
    <dataField name="Latest Payment" fld="8" subtotal="max" baseField="0" baseItem="0" numFmtId="166"/>
  </dataFields>
  <formats count="7">
    <format dxfId="22">
      <pivotArea outline="0" fieldPosition="0">
        <references count="1">
          <reference field="4294967294" count="1" selected="0"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outline="0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outline="0" fieldPosition="0">
        <references count="1">
          <reference field="13" count="0"/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field="0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66FA7-6BA9-4055-B645-E96045291F02}" name="PivotTable1" cacheId="6167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 chartFormat="9">
  <location ref="B4:D25" firstHeaderRow="1" firstDataRow="1" firstDataCol="2"/>
  <pivotFields count="16">
    <pivotField axis="axisRow" compact="0" outline="0" showAll="0" measureFilter="1" sortType="descending" defaultSubtotal="0">
      <items count="201">
        <item x="147"/>
        <item x="60"/>
        <item x="111"/>
        <item x="170"/>
        <item x="108"/>
        <item x="59"/>
        <item x="138"/>
        <item x="130"/>
        <item x="167"/>
        <item x="58"/>
        <item x="164"/>
        <item x="57"/>
        <item x="107"/>
        <item x="106"/>
        <item x="194"/>
        <item x="104"/>
        <item x="99"/>
        <item x="96"/>
        <item x="121"/>
        <item x="10"/>
        <item x="56"/>
        <item x="165"/>
        <item x="172"/>
        <item x="94"/>
        <item x="163"/>
        <item x="92"/>
        <item x="90"/>
        <item x="162"/>
        <item x="89"/>
        <item x="198"/>
        <item x="193"/>
        <item x="88"/>
        <item x="86"/>
        <item x="175"/>
        <item x="82"/>
        <item x="9"/>
        <item x="55"/>
        <item x="54"/>
        <item x="161"/>
        <item x="158"/>
        <item x="155"/>
        <item x="154"/>
        <item x="199"/>
        <item x="53"/>
        <item x="80"/>
        <item x="79"/>
        <item x="52"/>
        <item x="77"/>
        <item x="76"/>
        <item x="100"/>
        <item x="150"/>
        <item x="8"/>
        <item x="51"/>
        <item x="151"/>
        <item x="113"/>
        <item x="174"/>
        <item x="178"/>
        <item x="50"/>
        <item x="75"/>
        <item x="148"/>
        <item x="49"/>
        <item x="48"/>
        <item x="181"/>
        <item x="73"/>
        <item x="72"/>
        <item x="189"/>
        <item x="70"/>
        <item x="47"/>
        <item x="102"/>
        <item x="146"/>
        <item x="128"/>
        <item x="144"/>
        <item x="142"/>
        <item x="7"/>
        <item x="188"/>
        <item x="141"/>
        <item x="69"/>
        <item x="46"/>
        <item x="68"/>
        <item x="101"/>
        <item x="67"/>
        <item x="139"/>
        <item x="93"/>
        <item x="135"/>
        <item x="143"/>
        <item x="168"/>
        <item x="137"/>
        <item x="66"/>
        <item x="85"/>
        <item x="110"/>
        <item x="65"/>
        <item x="45"/>
        <item x="64"/>
        <item x="44"/>
        <item x="6"/>
        <item x="63"/>
        <item x="30"/>
        <item x="29"/>
        <item x="28"/>
        <item x="136"/>
        <item x="62"/>
        <item x="5"/>
        <item x="134"/>
        <item x="61"/>
        <item x="43"/>
        <item x="27"/>
        <item x="26"/>
        <item x="153"/>
        <item x="185"/>
        <item x="25"/>
        <item x="132"/>
        <item x="177"/>
        <item x="157"/>
        <item x="42"/>
        <item x="186"/>
        <item x="87"/>
        <item x="41"/>
        <item x="40"/>
        <item x="192"/>
        <item x="24"/>
        <item x="152"/>
        <item x="140"/>
        <item x="4"/>
        <item x="191"/>
        <item x="173"/>
        <item x="120"/>
        <item x="23"/>
        <item x="169"/>
        <item x="131"/>
        <item x="129"/>
        <item x="196"/>
        <item x="197"/>
        <item x="39"/>
        <item x="166"/>
        <item x="22"/>
        <item x="184"/>
        <item x="3"/>
        <item x="127"/>
        <item x="2"/>
        <item x="95"/>
        <item x="74"/>
        <item x="21"/>
        <item x="20"/>
        <item x="19"/>
        <item x="18"/>
        <item x="17"/>
        <item x="105"/>
        <item x="112"/>
        <item x="16"/>
        <item x="15"/>
        <item x="38"/>
        <item x="37"/>
        <item x="115"/>
        <item x="1"/>
        <item x="180"/>
        <item x="14"/>
        <item x="125"/>
        <item x="36"/>
        <item x="109"/>
        <item x="13"/>
        <item x="35"/>
        <item x="34"/>
        <item x="187"/>
        <item x="33"/>
        <item x="145"/>
        <item x="12"/>
        <item x="11"/>
        <item x="78"/>
        <item x="160"/>
        <item x="156"/>
        <item x="183"/>
        <item x="159"/>
        <item x="126"/>
        <item x="124"/>
        <item x="118"/>
        <item x="122"/>
        <item x="133"/>
        <item x="182"/>
        <item x="119"/>
        <item x="117"/>
        <item x="179"/>
        <item x="176"/>
        <item x="116"/>
        <item x="114"/>
        <item x="81"/>
        <item x="84"/>
        <item x="103"/>
        <item x="190"/>
        <item x="195"/>
        <item x="98"/>
        <item x="71"/>
        <item x="32"/>
        <item x="31"/>
        <item x="171"/>
        <item x="91"/>
        <item x="0"/>
        <item x="83"/>
        <item x="123"/>
        <item x="97"/>
        <item x="149"/>
        <item x="2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9">
        <item x="7"/>
        <item x="3"/>
        <item x="2"/>
        <item x="1"/>
        <item x="0"/>
        <item x="4"/>
        <item x="6"/>
        <item x="5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sortType="descending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2"/>
  </rowFields>
  <rowItems count="21">
    <i>
      <x v="48"/>
      <x v="1"/>
    </i>
    <i>
      <x v="29"/>
      <x v="6"/>
    </i>
    <i>
      <x v="138"/>
      <x v="4"/>
    </i>
    <i>
      <x v="68"/>
      <x v="5"/>
    </i>
    <i>
      <x v="166"/>
      <x v="3"/>
    </i>
    <i>
      <x v="76"/>
      <x v="1"/>
    </i>
    <i>
      <x v="196"/>
      <x v="5"/>
    </i>
    <i>
      <x v="123"/>
      <x v="7"/>
    </i>
    <i>
      <x v="182"/>
      <x/>
    </i>
    <i>
      <x v="106"/>
      <x v="3"/>
    </i>
    <i>
      <x v="51"/>
      <x v="4"/>
    </i>
    <i>
      <x v="62"/>
      <x v="6"/>
    </i>
    <i>
      <x v="114"/>
      <x v="5"/>
    </i>
    <i>
      <x v="107"/>
      <x v="5"/>
    </i>
    <i>
      <x v="153"/>
      <x v="4"/>
    </i>
    <i>
      <x v="31"/>
      <x v="1"/>
    </i>
    <i>
      <x v="88"/>
      <x v="6"/>
    </i>
    <i>
      <x v="155"/>
      <x v="3"/>
    </i>
    <i>
      <x v="50"/>
      <x v="5"/>
    </i>
    <i>
      <x v="57"/>
      <x v="2"/>
    </i>
    <i t="grand">
      <x/>
    </i>
  </rowItems>
  <colItems count="1">
    <i/>
  </colItems>
  <dataFields count="1">
    <dataField name="Sum of DUE" fld="9" baseField="0" baseItem="0"/>
  </dataFields>
  <formats count="2">
    <format dxfId="20">
      <pivotArea field="0" type="button" dataOnly="0" labelOnly="1" outline="0" axis="axisRow" fieldPosition="0"/>
    </format>
    <format dxfId="21">
      <pivotArea dataOnly="0" labelOnly="1" outline="0" axis="axisValues" fieldPosition="0"/>
    </format>
  </format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6225C-7367-41EE-BD8E-3DA2AE50A7A2}" name="PivotTable1" cacheId="6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V96:BX98" firstHeaderRow="0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compact="0" outline="0" showAll="0"/>
    <pivotField compact="0" outline="0" showAll="0"/>
    <pivotField compact="0" numFmtId="15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h="1" x="2"/>
        <item x="1"/>
        <item h="1" x="0"/>
        <item t="default"/>
      </items>
    </pivotField>
    <pivotField compact="0" outline="0" showAll="0"/>
  </pivotFields>
  <rowFields count="1">
    <field x="15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E" fld="9" baseField="0" baseItem="0" numFmtId="3"/>
    <dataField name="Count of Client Name" fld="0" subtotal="count" baseField="0" baseItem="0"/>
  </dataFields>
  <formats count="2">
    <format dxfId="18">
      <pivotArea outline="0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am" xr10:uid="{A2330C54-ED49-4EAB-8278-28BEF3A77F4D}" sourceName="Team">
  <pivotTables>
    <pivotTable tabId="6" name="PivotTable4"/>
  </pivotTables>
  <data>
    <tabular pivotCacheId="966549515">
      <items count="8">
        <i x="7" s="1"/>
        <i x="3" s="1"/>
        <i x="2" s="1"/>
        <i x="1" s="1"/>
        <i x="0" s="1"/>
        <i x="4" s="1"/>
        <i x="6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cency_Status" xr10:uid="{39BCE329-4CF8-42D3-AD74-1AB0D4FE6621}" sourceName="Recency Status">
  <pivotTables>
    <pivotTable tabId="6" name="PivotTable4"/>
  </pivotTables>
  <data>
    <tabular pivotCacheId="966549515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am2" xr10:uid="{FF96BA35-5CA8-4202-9B7E-7779775319F4}" sourceName="Team">
  <pivotTables>
    <pivotTable tabId="16" name="PivotTable7"/>
  </pivotTables>
  <data>
    <tabular pivotCacheId="232682470">
      <items count="9">
        <i x="7" s="1"/>
        <i x="3" s="1"/>
        <i x="2" s="1"/>
        <i x="1" s="1"/>
        <i x="0" s="1"/>
        <i x="4" s="1"/>
        <i x="6" s="1"/>
        <i x="5" s="1"/>
        <i x="8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am" xr10:uid="{D1BB5577-0BA3-4825-84F3-8378AF04E76C}" cache="Slicer_Team" caption="Team" startItem="1" rowHeight="228600"/>
  <slicer name="Recency Status" xr10:uid="{01DC3467-9E1C-4CC1-B6F7-C2A38B38279A}" cache="Slicer_Recency_Status" caption="Recency Statu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am 2" xr10:uid="{7ACB7E14-6DC5-4A7B-AFFB-B0C00031B18E}" cache="Slicer_Team2" caption="Team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036AD-0BC0-464F-A08C-5DB544F16357}" name="Table1" displayName="Table1" ref="A1:P201" totalsRowShown="0" headerRowDxfId="17" dataDxfId="16">
  <autoFilter ref="A1:P201" xr:uid="{408036AD-0BC0-464F-A08C-5DB544F16357}"/>
  <sortState xmlns:xlrd2="http://schemas.microsoft.com/office/spreadsheetml/2017/richdata2" ref="A2:P201">
    <sortCondition ref="A1:A201"/>
  </sortState>
  <tableColumns count="16">
    <tableColumn id="1" xr3:uid="{05986A2A-CCB0-42D7-BAF5-DDAAA3E17FF8}" name="Client Name" dataDxfId="15"/>
    <tableColumn id="2" xr3:uid="{C785AC31-44FC-40E7-86D3-4FA9147E88EF}" name="Address" dataDxfId="14"/>
    <tableColumn id="3" xr3:uid="{41279FDF-1CEC-43A4-96F6-E7C0547D48C3}" name="Team" dataDxfId="13"/>
    <tableColumn id="4" xr3:uid="{67D3538E-D3E8-4449-9F2D-17B9AF4E0AAB}" name="Total Sale" dataDxfId="12"/>
    <tableColumn id="10" xr3:uid="{930F9B7B-471C-45CB-9C76-605732039FBF}" name="Sale Month" dataDxfId="11">
      <calculatedColumnFormula>TEXT(Table1[[#This Row],[Last Sale Date]],"MMM")</calculatedColumnFormula>
    </tableColumn>
    <tableColumn id="12" xr3:uid="{BCB9FF84-151D-48FF-AC7C-B914B7753666}" name="Last Sale Date" dataDxfId="10"/>
    <tableColumn id="5" xr3:uid="{FE46876C-0B18-4E5B-8A52-5E76AD2FDD9D}" name="Total Payment" dataDxfId="9"/>
    <tableColumn id="11" xr3:uid="{07176D81-9A34-4AF5-8A75-6D511F5BF01D}" name="Payment Month" dataDxfId="8">
      <calculatedColumnFormula>TEXT(Table1[[#This Row],[Last Payment Date]],"MMM")</calculatedColumnFormula>
    </tableColumn>
    <tableColumn id="13" xr3:uid="{E2975D93-2140-4FA8-ABDE-463D278B3927}" name="Last Payment Date" dataDxfId="7"/>
    <tableColumn id="6" xr3:uid="{F6B2BA5E-282F-4D70-A987-36BD3F94E97D}" name="DUE" dataDxfId="6">
      <calculatedColumnFormula>D2-G2</calculatedColumnFormula>
    </tableColumn>
    <tableColumn id="7" xr3:uid="{015AADDA-9A80-497D-BF6F-6F5D9106CEEF}" name="Sales Frequency" dataDxfId="5"/>
    <tableColumn id="8" xr3:uid="{1844975F-E3AA-4678-A668-CE4E38DC8806}" name="Payment Freqency" dataDxfId="4"/>
    <tableColumn id="9" xr3:uid="{1BB961DD-2A8B-4FA9-BC7F-5561975143CA}" name="Balance_status" dataDxfId="3">
      <calculatedColumnFormula>IF(J2&gt;3000,"Pending","Settled")</calculatedColumnFormula>
    </tableColumn>
    <tableColumn id="16" xr3:uid="{56585EA5-7B02-4F61-A6A3-7CE37804862A}" name="Credit Risk" dataDxfId="2">
      <calculatedColumnFormula>IF(J2&gt;350000,"Critical",
   IF(J2&gt;200000,"Very High",
      IF(J2&gt;100000,"High",
         IF(J2&gt;30000,"Medium","Low"))))</calculatedColumnFormula>
    </tableColumn>
    <tableColumn id="14" xr3:uid="{A8E7ACB6-C944-403B-8744-41CF0D42BED7}" name="Days Since Last Collection" dataDxfId="1">
      <calculatedColumnFormula>DATE(2026,1,30) - Table1[[#This Row],[Last Payment Date]]</calculatedColumnFormula>
    </tableColumn>
    <tableColumn id="15" xr3:uid="{E305005C-DAA3-47FA-B8A4-15FB4D375695}" name="Recency Status" dataDxfId="0">
      <calculatedColumnFormula>IF(Table1[[#This Row],[Days Since Last Collection]]&lt;=45,"Active", IF(Table1[[#This Row],[Days Since Last Collection]]&lt;=75,"Moderate","Inactive"))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8E11-FCA7-41C1-963A-8F1B0F336488}">
  <dimension ref="B1:G14"/>
  <sheetViews>
    <sheetView showGridLines="0" tabSelected="1" workbookViewId="0">
      <selection activeCell="Q5" sqref="Q5"/>
    </sheetView>
  </sheetViews>
  <sheetFormatPr defaultRowHeight="12.75" customHeight="1"/>
  <cols>
    <col min="1" max="1" width="12.85546875" customWidth="1"/>
    <col min="2" max="2" width="20.140625" style="93" customWidth="1"/>
    <col min="3" max="3" width="13.85546875" style="7" customWidth="1"/>
    <col min="4" max="4" width="18.7109375" style="7" customWidth="1"/>
    <col min="5" max="5" width="13.85546875" customWidth="1"/>
    <col min="6" max="6" width="8.85546875" customWidth="1"/>
  </cols>
  <sheetData>
    <row r="1" spans="2:7" s="75" customFormat="1" ht="42" customHeight="1">
      <c r="B1" s="90" t="s">
        <v>0</v>
      </c>
      <c r="C1" s="76" t="s">
        <v>1</v>
      </c>
      <c r="D1" s="77" t="s">
        <v>2</v>
      </c>
      <c r="E1" s="78" t="s">
        <v>3</v>
      </c>
    </row>
    <row r="2" spans="2:7" ht="42" customHeight="1">
      <c r="B2" s="91" t="s">
        <v>4</v>
      </c>
      <c r="C2" s="81">
        <v>43191890</v>
      </c>
      <c r="D2" s="82">
        <v>37691990</v>
      </c>
      <c r="E2" s="83">
        <v>5499900</v>
      </c>
    </row>
    <row r="3" spans="2:7" ht="42" customHeight="1">
      <c r="B3" s="79" t="s">
        <v>5</v>
      </c>
      <c r="C3" s="84">
        <v>35371350</v>
      </c>
      <c r="D3" s="85">
        <v>30934920</v>
      </c>
      <c r="E3" s="86">
        <v>4436430</v>
      </c>
    </row>
    <row r="4" spans="2:7" ht="42" customHeight="1">
      <c r="B4" s="79" t="s">
        <v>6</v>
      </c>
      <c r="C4" s="84">
        <v>21149440</v>
      </c>
      <c r="D4" s="85">
        <v>17615120</v>
      </c>
      <c r="E4" s="86">
        <v>3534320</v>
      </c>
    </row>
    <row r="5" spans="2:7" ht="42" customHeight="1">
      <c r="B5" s="79" t="s">
        <v>7</v>
      </c>
      <c r="C5" s="84">
        <v>20730110</v>
      </c>
      <c r="D5" s="85">
        <v>17405340</v>
      </c>
      <c r="E5" s="86">
        <v>3324770</v>
      </c>
    </row>
    <row r="6" spans="2:7" ht="42" customHeight="1">
      <c r="B6" s="79" t="s">
        <v>8</v>
      </c>
      <c r="C6" s="84">
        <v>13465480</v>
      </c>
      <c r="D6" s="85">
        <v>10349110</v>
      </c>
      <c r="E6" s="86">
        <v>3116370</v>
      </c>
    </row>
    <row r="7" spans="2:7" ht="42" customHeight="1">
      <c r="B7" s="79" t="s">
        <v>9</v>
      </c>
      <c r="C7" s="84">
        <v>19515400</v>
      </c>
      <c r="D7" s="85">
        <v>16704300</v>
      </c>
      <c r="E7" s="86">
        <v>2811100</v>
      </c>
      <c r="G7" t="s">
        <v>10</v>
      </c>
    </row>
    <row r="8" spans="2:7" ht="42" customHeight="1">
      <c r="B8" s="79" t="s">
        <v>11</v>
      </c>
      <c r="C8" s="84">
        <v>25135740</v>
      </c>
      <c r="D8" s="85">
        <v>22362390</v>
      </c>
      <c r="E8" s="86">
        <v>2773350</v>
      </c>
    </row>
    <row r="9" spans="2:7" ht="42" customHeight="1">
      <c r="B9" s="79" t="s">
        <v>12</v>
      </c>
      <c r="C9" s="84">
        <v>17299000</v>
      </c>
      <c r="D9" s="85">
        <v>15480170</v>
      </c>
      <c r="E9" s="86">
        <v>1818830</v>
      </c>
    </row>
    <row r="10" spans="2:7" ht="42" customHeight="1">
      <c r="B10" s="92" t="s">
        <v>13</v>
      </c>
      <c r="C10" s="87">
        <v>195858410</v>
      </c>
      <c r="D10" s="88">
        <v>168543340</v>
      </c>
      <c r="E10" s="89">
        <v>27315070</v>
      </c>
    </row>
    <row r="11" spans="2:7" ht="32.25" customHeight="1"/>
    <row r="12" spans="2:7" ht="32.25" customHeight="1"/>
    <row r="13" spans="2:7" ht="32.25" customHeight="1"/>
    <row r="14" spans="2:7" ht="32.25" customHeight="1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7881-4816-4F84-A9A2-A24EAD313DA5}">
  <dimension ref="B1:D13"/>
  <sheetViews>
    <sheetView workbookViewId="0">
      <selection activeCell="O16" sqref="O16"/>
    </sheetView>
  </sheetViews>
  <sheetFormatPr defaultRowHeight="13.15"/>
  <cols>
    <col min="1" max="1" width="11.28515625" customWidth="1"/>
    <col min="2" max="2" width="14.7109375" customWidth="1"/>
    <col min="3" max="3" width="10.7109375" style="7" customWidth="1"/>
    <col min="4" max="4" width="14.42578125" customWidth="1"/>
  </cols>
  <sheetData>
    <row r="1" spans="2:4" ht="42" customHeight="1">
      <c r="B1" s="73" t="s">
        <v>14</v>
      </c>
      <c r="C1" s="94" t="s">
        <v>15</v>
      </c>
      <c r="D1" s="74" t="s">
        <v>3</v>
      </c>
    </row>
    <row r="2" spans="2:4" ht="42" customHeight="1">
      <c r="B2" s="94" t="s">
        <v>16</v>
      </c>
      <c r="C2" s="95">
        <v>110</v>
      </c>
      <c r="D2" s="74">
        <v>15493040</v>
      </c>
    </row>
    <row r="3" spans="2:4" ht="42" customHeight="1">
      <c r="B3" s="80" t="s">
        <v>17</v>
      </c>
      <c r="C3" s="96">
        <v>17</v>
      </c>
      <c r="D3" s="97">
        <v>2505210</v>
      </c>
    </row>
    <row r="4" spans="2:4" ht="42" customHeight="1">
      <c r="B4" s="80" t="s">
        <v>18</v>
      </c>
      <c r="C4" s="96">
        <v>73</v>
      </c>
      <c r="D4" s="97">
        <v>9316820</v>
      </c>
    </row>
    <row r="5" spans="2:4" ht="42" customHeight="1">
      <c r="B5" s="98" t="s">
        <v>13</v>
      </c>
      <c r="C5" s="99">
        <v>200</v>
      </c>
      <c r="D5" s="100">
        <v>27315070</v>
      </c>
    </row>
    <row r="6" spans="2:4" ht="12.75"/>
    <row r="7" spans="2:4" ht="12.75">
      <c r="C7"/>
    </row>
    <row r="8" spans="2:4" ht="12.75"/>
    <row r="9" spans="2:4" ht="12.75"/>
    <row r="10" spans="2:4" ht="12.75"/>
    <row r="11" spans="2:4" ht="12.75"/>
    <row r="12" spans="2:4" ht="12.75"/>
    <row r="13" spans="2:4" ht="12.75"/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C625-0FCC-4312-8697-F0100089B524}">
  <dimension ref="B1:D11"/>
  <sheetViews>
    <sheetView workbookViewId="0">
      <selection activeCell="K3" sqref="K3"/>
    </sheetView>
  </sheetViews>
  <sheetFormatPr defaultRowHeight="13.15"/>
  <cols>
    <col min="1" max="1" width="12.28515625" bestFit="1" customWidth="1"/>
    <col min="2" max="2" width="19.7109375" customWidth="1"/>
    <col min="3" max="3" width="22.42578125" style="7" customWidth="1"/>
    <col min="4" max="4" width="16.42578125" customWidth="1"/>
    <col min="5" max="5" width="10.7109375" customWidth="1"/>
  </cols>
  <sheetData>
    <row r="1" spans="2:4" ht="12.75"/>
    <row r="2" spans="2:4" ht="12.75"/>
    <row r="3" spans="2:4" ht="12.75">
      <c r="C3"/>
      <c r="D3" s="7"/>
    </row>
    <row r="4" spans="2:4" ht="12.75">
      <c r="C4"/>
      <c r="D4" s="7"/>
    </row>
    <row r="5" spans="2:4" ht="42" customHeight="1">
      <c r="B5" s="2" t="s">
        <v>19</v>
      </c>
      <c r="C5" s="5" t="s">
        <v>20</v>
      </c>
      <c r="D5" s="41" t="s">
        <v>21</v>
      </c>
    </row>
    <row r="6" spans="2:4" ht="42" customHeight="1">
      <c r="B6" s="1" t="s">
        <v>22</v>
      </c>
      <c r="C6" s="5">
        <v>31099930</v>
      </c>
      <c r="D6" s="42">
        <v>8068620</v>
      </c>
    </row>
    <row r="7" spans="2:4" ht="42" customHeight="1">
      <c r="B7" s="3" t="s">
        <v>23</v>
      </c>
      <c r="C7" s="105">
        <v>8163800</v>
      </c>
      <c r="D7" s="106">
        <v>721410</v>
      </c>
    </row>
    <row r="8" spans="2:4" ht="42" customHeight="1">
      <c r="B8" s="3" t="s">
        <v>24</v>
      </c>
      <c r="C8" s="105">
        <v>28144580</v>
      </c>
      <c r="D8" s="106">
        <v>2530400</v>
      </c>
    </row>
    <row r="9" spans="2:4" ht="42" customHeight="1">
      <c r="B9" s="3" t="s">
        <v>25</v>
      </c>
      <c r="C9" s="105">
        <v>65377610</v>
      </c>
      <c r="D9" s="106">
        <v>5402960</v>
      </c>
    </row>
    <row r="10" spans="2:4" ht="42" customHeight="1">
      <c r="B10" s="3" t="s">
        <v>26</v>
      </c>
      <c r="C10" s="105">
        <v>63072490</v>
      </c>
      <c r="D10" s="106">
        <v>10591680</v>
      </c>
    </row>
    <row r="11" spans="2:4" ht="42" customHeight="1">
      <c r="B11" s="4" t="s">
        <v>13</v>
      </c>
      <c r="C11" s="6">
        <v>195858410</v>
      </c>
      <c r="D11" s="43">
        <v>27315070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7AF5-6900-40B4-9E26-E47DE89B40B6}">
  <dimension ref="A3:D604"/>
  <sheetViews>
    <sheetView showGridLines="0" showRowColHeaders="0" workbookViewId="0">
      <selection activeCell="B7" sqref="B7"/>
    </sheetView>
  </sheetViews>
  <sheetFormatPr defaultRowHeight="13.15"/>
  <cols>
    <col min="1" max="1" width="12.5703125" customWidth="1"/>
    <col min="2" max="2" width="23.140625" style="11" customWidth="1"/>
    <col min="3" max="3" width="21.28515625" customWidth="1"/>
    <col min="4" max="4" width="10.7109375" customWidth="1"/>
  </cols>
  <sheetData>
    <row r="3" spans="1:4" ht="18" customHeight="1"/>
    <row r="4" spans="1:4" s="55" customFormat="1" ht="18" customHeight="1">
      <c r="C4"/>
      <c r="D4"/>
    </row>
    <row r="5" spans="1:4" s="55" customFormat="1" ht="18" customHeight="1">
      <c r="C5"/>
      <c r="D5"/>
    </row>
    <row r="6" spans="1:4" s="55" customFormat="1" ht="18" customHeight="1">
      <c r="C6"/>
      <c r="D6"/>
    </row>
    <row r="7" spans="1:4" s="55" customFormat="1" ht="32.25" customHeight="1">
      <c r="B7" s="2" t="s">
        <v>0</v>
      </c>
      <c r="C7" s="9" t="s">
        <v>21</v>
      </c>
      <c r="D7"/>
    </row>
    <row r="8" spans="1:4" s="55" customFormat="1" ht="32.25" customHeight="1">
      <c r="B8" s="1" t="s">
        <v>11</v>
      </c>
      <c r="C8" s="9">
        <v>2773350</v>
      </c>
      <c r="D8"/>
    </row>
    <row r="9" spans="1:4" s="55" customFormat="1" ht="32.25" customHeight="1">
      <c r="B9" s="3" t="s">
        <v>7</v>
      </c>
      <c r="C9" s="101">
        <v>3324770</v>
      </c>
      <c r="D9"/>
    </row>
    <row r="10" spans="1:4" s="55" customFormat="1" ht="32.25" customHeight="1">
      <c r="B10" s="3" t="s">
        <v>4</v>
      </c>
      <c r="C10" s="101">
        <v>5499900</v>
      </c>
      <c r="D10"/>
    </row>
    <row r="11" spans="1:4" s="55" customFormat="1" ht="32.25" customHeight="1">
      <c r="B11" s="3" t="s">
        <v>9</v>
      </c>
      <c r="C11" s="101">
        <v>2811100</v>
      </c>
      <c r="D11"/>
    </row>
    <row r="12" spans="1:4" s="55" customFormat="1" ht="32.25" customHeight="1">
      <c r="B12" s="3" t="s">
        <v>8</v>
      </c>
      <c r="C12" s="101">
        <v>3116370</v>
      </c>
      <c r="D12"/>
    </row>
    <row r="13" spans="1:4" s="55" customFormat="1" ht="32.25" customHeight="1">
      <c r="A13"/>
      <c r="B13" s="3" t="s">
        <v>6</v>
      </c>
      <c r="C13" s="101">
        <v>3534320</v>
      </c>
      <c r="D13"/>
    </row>
    <row r="14" spans="1:4" s="55" customFormat="1" ht="32.25" customHeight="1">
      <c r="A14"/>
      <c r="B14" s="3" t="s">
        <v>5</v>
      </c>
      <c r="C14" s="101">
        <v>4436430</v>
      </c>
      <c r="D14"/>
    </row>
    <row r="15" spans="1:4" ht="32.25" customHeight="1">
      <c r="B15" s="3" t="s">
        <v>12</v>
      </c>
      <c r="C15" s="101">
        <v>1818830</v>
      </c>
    </row>
    <row r="16" spans="1:4" ht="32.25" customHeight="1">
      <c r="B16" s="12" t="s">
        <v>13</v>
      </c>
      <c r="C16" s="10">
        <v>27315070</v>
      </c>
    </row>
    <row r="17" spans="2:2" ht="12.75">
      <c r="B17"/>
    </row>
    <row r="18" spans="2:2" ht="12.75">
      <c r="B18"/>
    </row>
    <row r="19" spans="2:2" ht="12.75">
      <c r="B19"/>
    </row>
    <row r="20" spans="2:2" ht="12.75">
      <c r="B20"/>
    </row>
    <row r="21" spans="2:2" ht="12.75">
      <c r="B21"/>
    </row>
    <row r="22" spans="2:2" ht="12.75">
      <c r="B22"/>
    </row>
    <row r="23" spans="2:2" ht="12.75">
      <c r="B23"/>
    </row>
    <row r="24" spans="2:2" ht="12.75">
      <c r="B24"/>
    </row>
    <row r="25" spans="2:2" ht="12.75">
      <c r="B25"/>
    </row>
    <row r="26" spans="2:2" ht="12.75">
      <c r="B26"/>
    </row>
    <row r="27" spans="2:2" ht="12.75">
      <c r="B27"/>
    </row>
    <row r="28" spans="2:2" ht="12.75">
      <c r="B28"/>
    </row>
    <row r="29" spans="2:2" ht="12.75">
      <c r="B29"/>
    </row>
    <row r="30" spans="2:2" ht="12.75">
      <c r="B30"/>
    </row>
    <row r="31" spans="2:2" ht="12.75">
      <c r="B31"/>
    </row>
    <row r="32" spans="2:2" ht="12.75">
      <c r="B32"/>
    </row>
    <row r="33" spans="2:2" ht="12.75">
      <c r="B33"/>
    </row>
    <row r="34" spans="2:2" ht="12.75">
      <c r="B34"/>
    </row>
    <row r="35" spans="2:2" ht="12.75">
      <c r="B35"/>
    </row>
    <row r="36" spans="2:2" ht="12.75">
      <c r="B36"/>
    </row>
    <row r="37" spans="2:2" ht="12.75">
      <c r="B37"/>
    </row>
    <row r="38" spans="2:2" ht="12.75">
      <c r="B38"/>
    </row>
    <row r="39" spans="2:2" ht="12.75">
      <c r="B39"/>
    </row>
    <row r="40" spans="2:2" ht="12.75">
      <c r="B40"/>
    </row>
    <row r="41" spans="2:2" ht="12.75">
      <c r="B41"/>
    </row>
    <row r="42" spans="2:2" ht="12.75">
      <c r="B42"/>
    </row>
    <row r="43" spans="2:2" ht="12.75">
      <c r="B43"/>
    </row>
    <row r="44" spans="2:2" ht="12.75">
      <c r="B44"/>
    </row>
    <row r="45" spans="2:2" ht="12.75">
      <c r="B45"/>
    </row>
    <row r="46" spans="2:2" ht="12.75">
      <c r="B46"/>
    </row>
    <row r="47" spans="2:2" ht="12.75">
      <c r="B47"/>
    </row>
    <row r="48" spans="2:2" ht="12.75">
      <c r="B48"/>
    </row>
    <row r="49" spans="2:2" ht="12.75">
      <c r="B49"/>
    </row>
    <row r="50" spans="2:2" ht="12.75">
      <c r="B50"/>
    </row>
    <row r="51" spans="2:2" ht="12.75">
      <c r="B51"/>
    </row>
    <row r="52" spans="2:2" ht="12.75">
      <c r="B52"/>
    </row>
    <row r="53" spans="2:2" ht="12.75">
      <c r="B53"/>
    </row>
    <row r="54" spans="2:2" ht="12.75">
      <c r="B54"/>
    </row>
    <row r="55" spans="2:2" ht="12.75">
      <c r="B55"/>
    </row>
    <row r="56" spans="2:2" ht="12.75">
      <c r="B56"/>
    </row>
    <row r="57" spans="2:2" ht="12.75">
      <c r="B57"/>
    </row>
    <row r="58" spans="2:2" ht="12.75">
      <c r="B58"/>
    </row>
    <row r="59" spans="2:2" ht="12.75">
      <c r="B59"/>
    </row>
    <row r="60" spans="2:2" ht="12.75">
      <c r="B60"/>
    </row>
    <row r="61" spans="2:2" ht="12.75">
      <c r="B61"/>
    </row>
    <row r="62" spans="2:2" ht="12.75">
      <c r="B62"/>
    </row>
    <row r="63" spans="2:2" ht="12.75">
      <c r="B63"/>
    </row>
    <row r="64" spans="2:2" ht="12.75">
      <c r="B64"/>
    </row>
    <row r="65" spans="2:2" ht="12.75">
      <c r="B65"/>
    </row>
    <row r="66" spans="2:2" ht="12.75">
      <c r="B66"/>
    </row>
    <row r="67" spans="2:2" ht="12.75">
      <c r="B67"/>
    </row>
    <row r="68" spans="2:2" ht="12.75">
      <c r="B68"/>
    </row>
    <row r="69" spans="2:2" ht="12.75">
      <c r="B69"/>
    </row>
    <row r="70" spans="2:2" ht="12.75">
      <c r="B70"/>
    </row>
    <row r="71" spans="2:2" ht="12.75">
      <c r="B71"/>
    </row>
    <row r="72" spans="2:2" ht="12.75">
      <c r="B72"/>
    </row>
    <row r="73" spans="2:2" ht="12.75">
      <c r="B73"/>
    </row>
    <row r="74" spans="2:2" ht="12.75">
      <c r="B74"/>
    </row>
    <row r="75" spans="2:2" ht="12.75">
      <c r="B75"/>
    </row>
    <row r="76" spans="2:2" ht="12.75">
      <c r="B76"/>
    </row>
    <row r="77" spans="2:2" ht="12.75">
      <c r="B77"/>
    </row>
    <row r="78" spans="2:2" ht="12.75">
      <c r="B78"/>
    </row>
    <row r="79" spans="2:2" ht="12.75">
      <c r="B79"/>
    </row>
    <row r="80" spans="2:2" ht="12.75">
      <c r="B80"/>
    </row>
    <row r="81" spans="2:2" ht="12.75">
      <c r="B81"/>
    </row>
    <row r="82" spans="2:2" ht="12.75">
      <c r="B82"/>
    </row>
    <row r="83" spans="2:2" ht="12.75">
      <c r="B83"/>
    </row>
    <row r="84" spans="2:2" ht="12.75">
      <c r="B84"/>
    </row>
    <row r="85" spans="2:2" ht="12.75">
      <c r="B85"/>
    </row>
    <row r="86" spans="2:2" ht="12.75">
      <c r="B86"/>
    </row>
    <row r="87" spans="2:2" ht="12.75">
      <c r="B87"/>
    </row>
    <row r="88" spans="2:2" ht="12.75">
      <c r="B88"/>
    </row>
    <row r="89" spans="2:2" ht="12.75">
      <c r="B89"/>
    </row>
    <row r="90" spans="2:2" ht="12.75">
      <c r="B90"/>
    </row>
    <row r="91" spans="2:2" ht="12.75">
      <c r="B91"/>
    </row>
    <row r="92" spans="2:2" ht="12.75">
      <c r="B92"/>
    </row>
    <row r="93" spans="2:2" ht="12.75">
      <c r="B93"/>
    </row>
    <row r="94" spans="2:2" ht="12.75">
      <c r="B94"/>
    </row>
    <row r="95" spans="2:2" ht="12.75">
      <c r="B95"/>
    </row>
    <row r="96" spans="2:2" ht="12.75">
      <c r="B96"/>
    </row>
    <row r="97" spans="2:2" ht="12.75">
      <c r="B97"/>
    </row>
    <row r="98" spans="2:2" ht="12.75">
      <c r="B98"/>
    </row>
    <row r="99" spans="2:2" ht="12.75">
      <c r="B99"/>
    </row>
    <row r="100" spans="2:2" ht="12.75">
      <c r="B100"/>
    </row>
    <row r="101" spans="2:2" ht="12.75">
      <c r="B101"/>
    </row>
    <row r="102" spans="2:2" ht="12.75">
      <c r="B102"/>
    </row>
    <row r="103" spans="2:2" ht="12.75">
      <c r="B103"/>
    </row>
    <row r="104" spans="2:2" ht="12.75">
      <c r="B104"/>
    </row>
    <row r="105" spans="2:2" ht="12.75">
      <c r="B105"/>
    </row>
    <row r="106" spans="2:2" ht="12.75">
      <c r="B106"/>
    </row>
    <row r="107" spans="2:2" ht="12.75">
      <c r="B107"/>
    </row>
    <row r="108" spans="2:2" ht="12.75">
      <c r="B108"/>
    </row>
    <row r="109" spans="2:2" ht="12.75">
      <c r="B109"/>
    </row>
    <row r="110" spans="2:2" ht="12.75">
      <c r="B110"/>
    </row>
    <row r="111" spans="2:2" ht="12.75">
      <c r="B111"/>
    </row>
    <row r="112" spans="2:2" ht="12.75">
      <c r="B112"/>
    </row>
    <row r="113" spans="2:2" ht="12.75">
      <c r="B113"/>
    </row>
    <row r="114" spans="2:2" ht="12.75">
      <c r="B114"/>
    </row>
    <row r="115" spans="2:2" ht="12.75">
      <c r="B115"/>
    </row>
    <row r="116" spans="2:2" ht="12.75">
      <c r="B116"/>
    </row>
    <row r="117" spans="2:2" ht="12.75">
      <c r="B117"/>
    </row>
    <row r="118" spans="2:2" ht="12.75">
      <c r="B118"/>
    </row>
    <row r="119" spans="2:2" ht="12.75">
      <c r="B119"/>
    </row>
    <row r="120" spans="2:2" ht="12.75">
      <c r="B120"/>
    </row>
    <row r="121" spans="2:2" ht="12.75">
      <c r="B121"/>
    </row>
    <row r="122" spans="2:2" ht="12.75">
      <c r="B122"/>
    </row>
    <row r="123" spans="2:2" ht="12.75">
      <c r="B123"/>
    </row>
    <row r="124" spans="2:2" ht="12.75">
      <c r="B124"/>
    </row>
    <row r="125" spans="2:2" ht="12.75">
      <c r="B125"/>
    </row>
    <row r="126" spans="2:2" ht="12.75">
      <c r="B126"/>
    </row>
    <row r="127" spans="2:2" ht="12.75">
      <c r="B127"/>
    </row>
    <row r="128" spans="2:2" ht="12.75">
      <c r="B128"/>
    </row>
    <row r="129" spans="2:2" ht="12.75">
      <c r="B129"/>
    </row>
    <row r="130" spans="2:2" ht="12.75">
      <c r="B130"/>
    </row>
    <row r="131" spans="2:2" ht="12.75">
      <c r="B131"/>
    </row>
    <row r="132" spans="2:2" ht="12.75">
      <c r="B132"/>
    </row>
    <row r="133" spans="2:2" ht="12.75">
      <c r="B133"/>
    </row>
    <row r="134" spans="2:2" ht="12.75">
      <c r="B134"/>
    </row>
    <row r="135" spans="2:2" ht="12.75">
      <c r="B135"/>
    </row>
    <row r="136" spans="2:2" ht="12.75">
      <c r="B136"/>
    </row>
    <row r="137" spans="2:2" ht="12.75">
      <c r="B137"/>
    </row>
    <row r="138" spans="2:2" ht="12.75">
      <c r="B138"/>
    </row>
    <row r="139" spans="2:2" ht="12.75">
      <c r="B139"/>
    </row>
    <row r="140" spans="2:2" ht="12.75">
      <c r="B140"/>
    </row>
    <row r="141" spans="2:2" ht="12.75">
      <c r="B141"/>
    </row>
    <row r="142" spans="2:2" ht="12.75">
      <c r="B142"/>
    </row>
    <row r="143" spans="2:2" ht="12.75">
      <c r="B143"/>
    </row>
    <row r="144" spans="2:2" ht="12.75">
      <c r="B144"/>
    </row>
    <row r="145" spans="2:2" ht="12.75">
      <c r="B145"/>
    </row>
    <row r="146" spans="2:2" ht="12.75">
      <c r="B146"/>
    </row>
    <row r="147" spans="2:2" ht="12.75">
      <c r="B147"/>
    </row>
    <row r="148" spans="2:2" ht="12.75">
      <c r="B148"/>
    </row>
    <row r="149" spans="2:2" ht="12.75">
      <c r="B149"/>
    </row>
    <row r="150" spans="2:2" ht="12.75">
      <c r="B150"/>
    </row>
    <row r="151" spans="2:2" ht="12.75">
      <c r="B151"/>
    </row>
    <row r="152" spans="2:2" ht="12.75">
      <c r="B152"/>
    </row>
    <row r="153" spans="2:2" ht="12.75">
      <c r="B153"/>
    </row>
    <row r="154" spans="2:2" ht="12.75">
      <c r="B154"/>
    </row>
    <row r="155" spans="2:2" ht="12.75">
      <c r="B155"/>
    </row>
    <row r="156" spans="2:2" ht="12.75">
      <c r="B156"/>
    </row>
    <row r="157" spans="2:2" ht="12.75">
      <c r="B157"/>
    </row>
    <row r="158" spans="2:2" ht="12.75">
      <c r="B158"/>
    </row>
    <row r="159" spans="2:2" ht="12.75">
      <c r="B159"/>
    </row>
    <row r="160" spans="2:2" ht="12.75">
      <c r="B160"/>
    </row>
    <row r="161" spans="2:2" ht="12.75">
      <c r="B161"/>
    </row>
    <row r="162" spans="2:2" ht="12.75">
      <c r="B162"/>
    </row>
    <row r="163" spans="2:2" ht="12.75">
      <c r="B163"/>
    </row>
    <row r="164" spans="2:2" ht="12.75">
      <c r="B164"/>
    </row>
    <row r="165" spans="2:2" ht="12.75">
      <c r="B165"/>
    </row>
    <row r="166" spans="2:2" ht="12.75">
      <c r="B166"/>
    </row>
    <row r="167" spans="2:2" ht="12.75">
      <c r="B167"/>
    </row>
    <row r="168" spans="2:2" ht="12.75">
      <c r="B168"/>
    </row>
    <row r="169" spans="2:2" ht="12.75">
      <c r="B169"/>
    </row>
    <row r="170" spans="2:2" ht="12.75">
      <c r="B170"/>
    </row>
    <row r="171" spans="2:2" ht="12.75">
      <c r="B171"/>
    </row>
    <row r="172" spans="2:2" ht="12.75">
      <c r="B172"/>
    </row>
    <row r="173" spans="2:2" ht="12.75">
      <c r="B173"/>
    </row>
    <row r="174" spans="2:2" ht="12.75">
      <c r="B174"/>
    </row>
    <row r="175" spans="2:2" ht="12.75">
      <c r="B175"/>
    </row>
    <row r="176" spans="2:2" ht="12.75">
      <c r="B176"/>
    </row>
    <row r="177" spans="2:2" ht="12.75">
      <c r="B177"/>
    </row>
    <row r="178" spans="2:2" ht="12.75">
      <c r="B178"/>
    </row>
    <row r="179" spans="2:2" ht="12.75">
      <c r="B179"/>
    </row>
    <row r="180" spans="2:2" ht="12.75">
      <c r="B180"/>
    </row>
    <row r="181" spans="2:2" ht="12.75">
      <c r="B181"/>
    </row>
    <row r="182" spans="2:2" ht="12.75">
      <c r="B182"/>
    </row>
    <row r="183" spans="2:2" ht="12.75">
      <c r="B183"/>
    </row>
    <row r="184" spans="2:2" ht="12.75">
      <c r="B184"/>
    </row>
    <row r="185" spans="2:2" ht="12.75">
      <c r="B185"/>
    </row>
    <row r="186" spans="2:2" ht="12.75">
      <c r="B186"/>
    </row>
    <row r="187" spans="2:2" ht="12.75">
      <c r="B187"/>
    </row>
    <row r="188" spans="2:2" ht="12.75">
      <c r="B188"/>
    </row>
    <row r="189" spans="2:2" ht="12.75">
      <c r="B189"/>
    </row>
    <row r="190" spans="2:2" ht="12.75">
      <c r="B190"/>
    </row>
    <row r="191" spans="2:2" ht="12.75">
      <c r="B191"/>
    </row>
    <row r="192" spans="2:2" ht="12.75">
      <c r="B192"/>
    </row>
    <row r="193" spans="2:2" ht="12.75">
      <c r="B193"/>
    </row>
    <row r="194" spans="2:2" ht="12.75">
      <c r="B194"/>
    </row>
    <row r="195" spans="2:2" ht="12.75">
      <c r="B195"/>
    </row>
    <row r="196" spans="2:2" ht="12.75">
      <c r="B196"/>
    </row>
    <row r="197" spans="2:2" ht="12.75">
      <c r="B197"/>
    </row>
    <row r="198" spans="2:2" ht="12.75">
      <c r="B198"/>
    </row>
    <row r="199" spans="2:2" ht="12.75">
      <c r="B199"/>
    </row>
    <row r="200" spans="2:2" ht="12.75">
      <c r="B200"/>
    </row>
    <row r="201" spans="2:2" ht="12.75">
      <c r="B201"/>
    </row>
    <row r="202" spans="2:2" ht="12.75">
      <c r="B202"/>
    </row>
    <row r="203" spans="2:2" ht="12.75">
      <c r="B203"/>
    </row>
    <row r="204" spans="2:2" ht="12.75">
      <c r="B204"/>
    </row>
    <row r="205" spans="2:2" ht="12.75">
      <c r="B205"/>
    </row>
    <row r="206" spans="2:2" ht="12.75">
      <c r="B206"/>
    </row>
    <row r="207" spans="2:2" ht="12.75">
      <c r="B207"/>
    </row>
    <row r="208" spans="2:2" ht="12.75">
      <c r="B208"/>
    </row>
    <row r="209" spans="2:2" ht="12.75">
      <c r="B209"/>
    </row>
    <row r="210" spans="2:2" ht="12.75">
      <c r="B210"/>
    </row>
    <row r="211" spans="2:2" ht="12.75">
      <c r="B211"/>
    </row>
    <row r="212" spans="2:2" ht="12.75">
      <c r="B212"/>
    </row>
    <row r="213" spans="2:2" ht="12.75">
      <c r="B213"/>
    </row>
    <row r="214" spans="2:2" ht="12.75">
      <c r="B214"/>
    </row>
    <row r="215" spans="2:2" ht="12.75">
      <c r="B215"/>
    </row>
    <row r="216" spans="2:2" ht="12.75">
      <c r="B216"/>
    </row>
    <row r="217" spans="2:2" ht="12.75">
      <c r="B217"/>
    </row>
    <row r="218" spans="2:2" ht="12.75">
      <c r="B218"/>
    </row>
    <row r="219" spans="2:2" ht="12.75">
      <c r="B219"/>
    </row>
    <row r="220" spans="2:2" ht="12.75">
      <c r="B220"/>
    </row>
    <row r="221" spans="2:2" ht="12.75">
      <c r="B221"/>
    </row>
    <row r="222" spans="2:2" ht="12.75">
      <c r="B222"/>
    </row>
    <row r="223" spans="2:2" ht="12.75">
      <c r="B223"/>
    </row>
    <row r="224" spans="2:2" ht="12.75">
      <c r="B224"/>
    </row>
    <row r="225" spans="2:2" ht="12.75">
      <c r="B225"/>
    </row>
    <row r="226" spans="2:2" ht="12.75">
      <c r="B226"/>
    </row>
    <row r="227" spans="2:2" ht="12.75">
      <c r="B227"/>
    </row>
    <row r="228" spans="2:2" ht="12.75">
      <c r="B228"/>
    </row>
    <row r="229" spans="2:2" ht="12.75">
      <c r="B229"/>
    </row>
    <row r="230" spans="2:2" ht="12.75">
      <c r="B230"/>
    </row>
    <row r="231" spans="2:2" ht="12.75">
      <c r="B231"/>
    </row>
    <row r="232" spans="2:2" ht="12.75">
      <c r="B232"/>
    </row>
    <row r="233" spans="2:2" ht="12.75">
      <c r="B233"/>
    </row>
    <row r="234" spans="2:2" ht="12.75">
      <c r="B234"/>
    </row>
    <row r="235" spans="2:2" ht="12.75">
      <c r="B235"/>
    </row>
    <row r="236" spans="2:2" ht="12.75">
      <c r="B236"/>
    </row>
    <row r="237" spans="2:2" ht="12.75">
      <c r="B237"/>
    </row>
    <row r="238" spans="2:2" ht="12.75">
      <c r="B238"/>
    </row>
    <row r="239" spans="2:2" ht="12.75">
      <c r="B239"/>
    </row>
    <row r="240" spans="2:2" ht="12.75">
      <c r="B240"/>
    </row>
    <row r="241" spans="2:2" ht="12.75">
      <c r="B241"/>
    </row>
    <row r="242" spans="2:2" ht="12.75">
      <c r="B242"/>
    </row>
    <row r="243" spans="2:2" ht="12.75">
      <c r="B243"/>
    </row>
    <row r="244" spans="2:2" ht="12.75">
      <c r="B244"/>
    </row>
    <row r="245" spans="2:2" ht="12.75">
      <c r="B245"/>
    </row>
    <row r="246" spans="2:2" ht="12.75">
      <c r="B246"/>
    </row>
    <row r="247" spans="2:2" ht="12.75">
      <c r="B247"/>
    </row>
    <row r="248" spans="2:2" ht="12.75">
      <c r="B248"/>
    </row>
    <row r="249" spans="2:2" ht="12.75">
      <c r="B249"/>
    </row>
    <row r="250" spans="2:2" ht="12.75">
      <c r="B250"/>
    </row>
    <row r="251" spans="2:2" ht="12.75">
      <c r="B251"/>
    </row>
    <row r="252" spans="2:2" ht="12.75">
      <c r="B252"/>
    </row>
    <row r="253" spans="2:2" ht="12.75">
      <c r="B253"/>
    </row>
    <row r="254" spans="2:2" ht="12.75">
      <c r="B254"/>
    </row>
    <row r="255" spans="2:2" ht="12.75">
      <c r="B255"/>
    </row>
    <row r="256" spans="2:2" ht="12.75">
      <c r="B256"/>
    </row>
    <row r="257" spans="2:2" ht="12.75">
      <c r="B257"/>
    </row>
    <row r="258" spans="2:2" ht="12.75">
      <c r="B258"/>
    </row>
    <row r="259" spans="2:2" ht="12.75">
      <c r="B259"/>
    </row>
    <row r="260" spans="2:2" ht="12.75">
      <c r="B260"/>
    </row>
    <row r="261" spans="2:2" ht="12.75">
      <c r="B261"/>
    </row>
    <row r="262" spans="2:2" ht="12.75">
      <c r="B262"/>
    </row>
    <row r="263" spans="2:2" ht="12.75">
      <c r="B263"/>
    </row>
    <row r="264" spans="2:2" ht="12.75">
      <c r="B264"/>
    </row>
    <row r="265" spans="2:2" ht="12.75">
      <c r="B265"/>
    </row>
    <row r="266" spans="2:2" ht="12.75">
      <c r="B266"/>
    </row>
    <row r="267" spans="2:2" ht="12.75">
      <c r="B267"/>
    </row>
    <row r="268" spans="2:2" ht="12.75">
      <c r="B268"/>
    </row>
    <row r="269" spans="2:2" ht="12.75">
      <c r="B269"/>
    </row>
    <row r="270" spans="2:2" ht="12.75">
      <c r="B270"/>
    </row>
    <row r="271" spans="2:2" ht="12.75">
      <c r="B271"/>
    </row>
    <row r="272" spans="2:2" ht="12.75">
      <c r="B272"/>
    </row>
    <row r="273" spans="2:2" ht="12.75">
      <c r="B273"/>
    </row>
    <row r="274" spans="2:2" ht="12.75">
      <c r="B274"/>
    </row>
    <row r="275" spans="2:2" ht="12.75">
      <c r="B275"/>
    </row>
    <row r="276" spans="2:2" ht="12.75">
      <c r="B276"/>
    </row>
    <row r="277" spans="2:2" ht="12.75">
      <c r="B277"/>
    </row>
    <row r="278" spans="2:2" ht="12.75">
      <c r="B278"/>
    </row>
    <row r="279" spans="2:2" ht="12.75">
      <c r="B279"/>
    </row>
    <row r="280" spans="2:2" ht="12.75">
      <c r="B280"/>
    </row>
    <row r="281" spans="2:2" ht="12.75">
      <c r="B281"/>
    </row>
    <row r="282" spans="2:2" ht="12.75">
      <c r="B282"/>
    </row>
    <row r="283" spans="2:2" ht="12.75">
      <c r="B283"/>
    </row>
    <row r="284" spans="2:2" ht="12.75">
      <c r="B284"/>
    </row>
    <row r="285" spans="2:2" ht="12.75">
      <c r="B285"/>
    </row>
    <row r="286" spans="2:2" ht="12.75">
      <c r="B286"/>
    </row>
    <row r="287" spans="2:2" ht="12.75">
      <c r="B287"/>
    </row>
    <row r="288" spans="2:2" ht="12.75">
      <c r="B288"/>
    </row>
    <row r="289" spans="2:2" ht="12.75">
      <c r="B289"/>
    </row>
    <row r="290" spans="2:2" ht="12.75">
      <c r="B290"/>
    </row>
    <row r="291" spans="2:2" ht="12.75">
      <c r="B291"/>
    </row>
    <row r="292" spans="2:2" ht="12.75">
      <c r="B292"/>
    </row>
    <row r="293" spans="2:2" ht="12.75">
      <c r="B293"/>
    </row>
    <row r="294" spans="2:2" ht="12.75">
      <c r="B294"/>
    </row>
    <row r="295" spans="2:2" ht="12.75">
      <c r="B295"/>
    </row>
    <row r="296" spans="2:2" ht="12.75">
      <c r="B296"/>
    </row>
    <row r="297" spans="2:2" ht="12.75">
      <c r="B297"/>
    </row>
    <row r="298" spans="2:2" ht="12.75">
      <c r="B298"/>
    </row>
    <row r="299" spans="2:2" ht="12.75">
      <c r="B299"/>
    </row>
    <row r="300" spans="2:2" ht="12.75">
      <c r="B300"/>
    </row>
    <row r="301" spans="2:2" ht="12.75">
      <c r="B301"/>
    </row>
    <row r="302" spans="2:2" ht="12.75">
      <c r="B302"/>
    </row>
    <row r="303" spans="2:2" ht="12.75">
      <c r="B303"/>
    </row>
    <row r="304" spans="2:2" ht="12.75">
      <c r="B304"/>
    </row>
    <row r="305" spans="2:2" ht="12.75">
      <c r="B305"/>
    </row>
    <row r="306" spans="2:2" ht="12.75">
      <c r="B306"/>
    </row>
    <row r="307" spans="2:2" ht="12.75">
      <c r="B307"/>
    </row>
    <row r="308" spans="2:2" ht="12.75">
      <c r="B308"/>
    </row>
    <row r="309" spans="2:2" ht="12.75">
      <c r="B309"/>
    </row>
    <row r="310" spans="2:2" ht="12.75">
      <c r="B310"/>
    </row>
    <row r="311" spans="2:2" ht="12.75">
      <c r="B311"/>
    </row>
    <row r="312" spans="2:2" ht="12.75">
      <c r="B312"/>
    </row>
    <row r="313" spans="2:2" ht="12.75">
      <c r="B313"/>
    </row>
    <row r="314" spans="2:2" ht="12.75">
      <c r="B314"/>
    </row>
    <row r="315" spans="2:2" ht="12.75">
      <c r="B315"/>
    </row>
    <row r="316" spans="2:2" ht="12.75">
      <c r="B316"/>
    </row>
    <row r="317" spans="2:2" ht="12.75">
      <c r="B317"/>
    </row>
    <row r="318" spans="2:2" ht="12.75">
      <c r="B318"/>
    </row>
    <row r="319" spans="2:2" ht="12.75">
      <c r="B319"/>
    </row>
    <row r="320" spans="2:2" ht="12.75">
      <c r="B320"/>
    </row>
    <row r="321" spans="2:2" ht="12.75">
      <c r="B321"/>
    </row>
    <row r="322" spans="2:2" ht="12.75">
      <c r="B322"/>
    </row>
    <row r="323" spans="2:2" ht="12.75">
      <c r="B323"/>
    </row>
    <row r="324" spans="2:2" ht="12.75">
      <c r="B324"/>
    </row>
    <row r="325" spans="2:2" ht="12.75">
      <c r="B325"/>
    </row>
    <row r="326" spans="2:2" ht="12.75">
      <c r="B326"/>
    </row>
    <row r="327" spans="2:2" ht="12.75">
      <c r="B327"/>
    </row>
    <row r="328" spans="2:2" ht="12.75">
      <c r="B328"/>
    </row>
    <row r="329" spans="2:2" ht="12.75">
      <c r="B329"/>
    </row>
    <row r="330" spans="2:2" ht="12.75">
      <c r="B330"/>
    </row>
    <row r="331" spans="2:2" ht="12.75">
      <c r="B331"/>
    </row>
    <row r="332" spans="2:2" ht="12.75">
      <c r="B332"/>
    </row>
    <row r="333" spans="2:2" ht="12.75">
      <c r="B333"/>
    </row>
    <row r="334" spans="2:2" ht="12.75">
      <c r="B334"/>
    </row>
    <row r="335" spans="2:2" ht="12.75">
      <c r="B335"/>
    </row>
    <row r="336" spans="2:2" ht="12.75">
      <c r="B336"/>
    </row>
    <row r="337" spans="2:2" ht="12.75">
      <c r="B337"/>
    </row>
    <row r="338" spans="2:2" ht="12.75">
      <c r="B338"/>
    </row>
    <row r="339" spans="2:2" ht="12.75">
      <c r="B339"/>
    </row>
    <row r="340" spans="2:2" ht="12.75">
      <c r="B340"/>
    </row>
    <row r="341" spans="2:2" ht="12.75">
      <c r="B341"/>
    </row>
    <row r="342" spans="2:2" ht="12.75">
      <c r="B342"/>
    </row>
    <row r="343" spans="2:2" ht="12.75">
      <c r="B343"/>
    </row>
    <row r="344" spans="2:2" ht="12.75">
      <c r="B344"/>
    </row>
    <row r="345" spans="2:2" ht="12.75">
      <c r="B345"/>
    </row>
    <row r="346" spans="2:2" ht="12.75">
      <c r="B346"/>
    </row>
    <row r="347" spans="2:2" ht="12.75">
      <c r="B347"/>
    </row>
    <row r="348" spans="2:2" ht="12.75">
      <c r="B348"/>
    </row>
    <row r="349" spans="2:2" ht="12.75">
      <c r="B349"/>
    </row>
    <row r="350" spans="2:2" ht="12.75">
      <c r="B350"/>
    </row>
    <row r="351" spans="2:2" ht="12.75">
      <c r="B351"/>
    </row>
    <row r="352" spans="2:2" ht="12.75">
      <c r="B352"/>
    </row>
    <row r="353" spans="2:2" ht="12.75">
      <c r="B353"/>
    </row>
    <row r="354" spans="2:2" ht="12.75">
      <c r="B354"/>
    </row>
    <row r="355" spans="2:2" ht="12.75">
      <c r="B355"/>
    </row>
    <row r="356" spans="2:2" ht="12.75">
      <c r="B356"/>
    </row>
    <row r="357" spans="2:2" ht="12.75">
      <c r="B357"/>
    </row>
    <row r="358" spans="2:2" ht="12.75">
      <c r="B358"/>
    </row>
    <row r="359" spans="2:2" ht="12.75">
      <c r="B359"/>
    </row>
    <row r="360" spans="2:2" ht="12.75">
      <c r="B360"/>
    </row>
    <row r="361" spans="2:2" ht="12.75">
      <c r="B361"/>
    </row>
    <row r="362" spans="2:2" ht="12.75">
      <c r="B362"/>
    </row>
    <row r="363" spans="2:2" ht="12.75">
      <c r="B363"/>
    </row>
    <row r="364" spans="2:2" ht="12.75">
      <c r="B364"/>
    </row>
    <row r="365" spans="2:2" ht="12.75">
      <c r="B365"/>
    </row>
    <row r="366" spans="2:2" ht="12.75">
      <c r="B366"/>
    </row>
    <row r="367" spans="2:2" ht="12.75">
      <c r="B367"/>
    </row>
    <row r="368" spans="2:2" ht="12.75">
      <c r="B368"/>
    </row>
    <row r="369" spans="2:2" ht="12.75">
      <c r="B369"/>
    </row>
    <row r="370" spans="2:2" ht="12.75">
      <c r="B370"/>
    </row>
    <row r="371" spans="2:2" ht="12.75">
      <c r="B371"/>
    </row>
    <row r="372" spans="2:2" ht="12.75">
      <c r="B372"/>
    </row>
    <row r="373" spans="2:2" ht="12.75">
      <c r="B373"/>
    </row>
    <row r="374" spans="2:2" ht="12.75">
      <c r="B374"/>
    </row>
    <row r="375" spans="2:2" ht="12.75">
      <c r="B375"/>
    </row>
    <row r="376" spans="2:2" ht="12.75">
      <c r="B376"/>
    </row>
    <row r="377" spans="2:2" ht="12.75">
      <c r="B377"/>
    </row>
    <row r="378" spans="2:2" ht="12.75">
      <c r="B378"/>
    </row>
    <row r="379" spans="2:2" ht="12.75">
      <c r="B379"/>
    </row>
    <row r="380" spans="2:2" ht="12.75">
      <c r="B380"/>
    </row>
    <row r="381" spans="2:2" ht="12.75">
      <c r="B381"/>
    </row>
    <row r="382" spans="2:2" ht="12.75">
      <c r="B382"/>
    </row>
    <row r="383" spans="2:2" ht="12.75">
      <c r="B383"/>
    </row>
    <row r="384" spans="2:2" ht="12.75">
      <c r="B384"/>
    </row>
    <row r="385" spans="2:2" ht="12.75">
      <c r="B385"/>
    </row>
    <row r="386" spans="2:2" ht="12.75">
      <c r="B386"/>
    </row>
    <row r="387" spans="2:2" ht="12.75">
      <c r="B387"/>
    </row>
    <row r="388" spans="2:2" ht="12.75">
      <c r="B388"/>
    </row>
    <row r="389" spans="2:2" ht="12.75">
      <c r="B389"/>
    </row>
    <row r="390" spans="2:2" ht="12.75">
      <c r="B390"/>
    </row>
    <row r="391" spans="2:2" ht="12.75">
      <c r="B391"/>
    </row>
    <row r="392" spans="2:2" ht="12.75">
      <c r="B392"/>
    </row>
    <row r="393" spans="2:2" ht="12.75">
      <c r="B393"/>
    </row>
    <row r="394" spans="2:2" ht="12.75">
      <c r="B394"/>
    </row>
    <row r="395" spans="2:2" ht="12.75">
      <c r="B395"/>
    </row>
    <row r="396" spans="2:2" ht="12.75">
      <c r="B396"/>
    </row>
    <row r="397" spans="2:2" ht="12.75">
      <c r="B397"/>
    </row>
    <row r="398" spans="2:2" ht="12.75">
      <c r="B398"/>
    </row>
    <row r="399" spans="2:2" ht="12.75">
      <c r="B399"/>
    </row>
    <row r="400" spans="2:2" ht="12.75">
      <c r="B400"/>
    </row>
    <row r="401" spans="2:2" ht="12.75">
      <c r="B401"/>
    </row>
    <row r="402" spans="2:2" ht="12.75">
      <c r="B402"/>
    </row>
    <row r="403" spans="2:2" ht="12.75">
      <c r="B403"/>
    </row>
    <row r="404" spans="2:2" ht="12.75">
      <c r="B404"/>
    </row>
    <row r="405" spans="2:2" ht="12.75">
      <c r="B405"/>
    </row>
    <row r="406" spans="2:2" ht="12.75">
      <c r="B406"/>
    </row>
    <row r="407" spans="2:2" ht="12.75">
      <c r="B407"/>
    </row>
    <row r="408" spans="2:2" ht="12.75">
      <c r="B408"/>
    </row>
    <row r="409" spans="2:2" ht="12.75">
      <c r="B409"/>
    </row>
    <row r="410" spans="2:2" ht="12.75">
      <c r="B410"/>
    </row>
    <row r="411" spans="2:2" ht="12.75">
      <c r="B411"/>
    </row>
    <row r="412" spans="2:2" ht="12.75">
      <c r="B412"/>
    </row>
    <row r="413" spans="2:2" ht="12.75">
      <c r="B413"/>
    </row>
    <row r="414" spans="2:2" ht="12.75">
      <c r="B414"/>
    </row>
    <row r="415" spans="2:2" ht="12.75">
      <c r="B415"/>
    </row>
    <row r="416" spans="2:2" ht="12.75">
      <c r="B416"/>
    </row>
    <row r="417" spans="2:2" ht="12.75">
      <c r="B417"/>
    </row>
    <row r="418" spans="2:2" ht="12.75">
      <c r="B418"/>
    </row>
    <row r="419" spans="2:2" ht="12.75">
      <c r="B419"/>
    </row>
    <row r="420" spans="2:2" ht="12.75">
      <c r="B420"/>
    </row>
    <row r="421" spans="2:2" ht="12.75">
      <c r="B421"/>
    </row>
    <row r="422" spans="2:2" ht="12.75">
      <c r="B422"/>
    </row>
    <row r="423" spans="2:2" ht="12.75">
      <c r="B423"/>
    </row>
    <row r="424" spans="2:2" ht="12.75">
      <c r="B424"/>
    </row>
    <row r="425" spans="2:2" ht="12.75">
      <c r="B425"/>
    </row>
    <row r="426" spans="2:2" ht="12.75">
      <c r="B426"/>
    </row>
    <row r="427" spans="2:2" ht="12.75">
      <c r="B427"/>
    </row>
    <row r="428" spans="2:2" ht="12.75">
      <c r="B428"/>
    </row>
    <row r="429" spans="2:2" ht="12.75">
      <c r="B429"/>
    </row>
    <row r="430" spans="2:2" ht="12.75">
      <c r="B430"/>
    </row>
    <row r="431" spans="2:2" ht="12.75">
      <c r="B431"/>
    </row>
    <row r="432" spans="2:2" ht="12.75">
      <c r="B432"/>
    </row>
    <row r="433" spans="2:2" ht="12.75">
      <c r="B433"/>
    </row>
    <row r="434" spans="2:2" ht="12.75">
      <c r="B434"/>
    </row>
    <row r="435" spans="2:2" ht="12.75">
      <c r="B435"/>
    </row>
    <row r="436" spans="2:2" ht="12.75">
      <c r="B436"/>
    </row>
    <row r="437" spans="2:2" ht="12.75">
      <c r="B437"/>
    </row>
    <row r="438" spans="2:2" ht="12.75">
      <c r="B438"/>
    </row>
    <row r="439" spans="2:2" ht="12.75">
      <c r="B439"/>
    </row>
    <row r="440" spans="2:2" ht="12.75">
      <c r="B440"/>
    </row>
    <row r="441" spans="2:2" ht="12.75">
      <c r="B441"/>
    </row>
    <row r="442" spans="2:2" ht="12.75">
      <c r="B442"/>
    </row>
    <row r="443" spans="2:2" ht="12.75">
      <c r="B443"/>
    </row>
    <row r="444" spans="2:2" ht="12.75">
      <c r="B444"/>
    </row>
    <row r="445" spans="2:2" ht="12.75">
      <c r="B445"/>
    </row>
    <row r="446" spans="2:2" ht="12.75">
      <c r="B446"/>
    </row>
    <row r="447" spans="2:2" ht="12.75">
      <c r="B447"/>
    </row>
    <row r="448" spans="2:2" ht="12.75">
      <c r="B448"/>
    </row>
    <row r="449" spans="2:2" ht="12.75">
      <c r="B449"/>
    </row>
    <row r="450" spans="2:2" ht="12.75">
      <c r="B450"/>
    </row>
    <row r="451" spans="2:2" ht="12.75">
      <c r="B451"/>
    </row>
    <row r="452" spans="2:2" ht="12.75">
      <c r="B452"/>
    </row>
    <row r="453" spans="2:2" ht="12.75">
      <c r="B453"/>
    </row>
    <row r="454" spans="2:2" ht="12.75">
      <c r="B454"/>
    </row>
    <row r="455" spans="2:2" ht="12.75">
      <c r="B455"/>
    </row>
    <row r="456" spans="2:2" ht="12.75">
      <c r="B456"/>
    </row>
    <row r="457" spans="2:2" ht="12.75">
      <c r="B457"/>
    </row>
    <row r="458" spans="2:2" ht="12.75">
      <c r="B458"/>
    </row>
    <row r="459" spans="2:2" ht="12.75">
      <c r="B459"/>
    </row>
    <row r="460" spans="2:2" ht="12.75">
      <c r="B460"/>
    </row>
    <row r="461" spans="2:2" ht="12.75">
      <c r="B461"/>
    </row>
    <row r="462" spans="2:2" ht="12.75">
      <c r="B462"/>
    </row>
    <row r="463" spans="2:2" ht="12.75">
      <c r="B463"/>
    </row>
    <row r="464" spans="2:2" ht="12.75">
      <c r="B464"/>
    </row>
    <row r="465" spans="2:2" ht="12.75">
      <c r="B465"/>
    </row>
    <row r="466" spans="2:2" ht="12.75">
      <c r="B466"/>
    </row>
    <row r="467" spans="2:2" ht="12.75">
      <c r="B467"/>
    </row>
    <row r="468" spans="2:2" ht="12.75">
      <c r="B468"/>
    </row>
    <row r="469" spans="2:2" ht="12.75">
      <c r="B469"/>
    </row>
    <row r="470" spans="2:2" ht="12.75">
      <c r="B470"/>
    </row>
    <row r="471" spans="2:2" ht="12.75">
      <c r="B471"/>
    </row>
    <row r="472" spans="2:2" ht="12.75">
      <c r="B472"/>
    </row>
    <row r="473" spans="2:2" ht="12.75">
      <c r="B473"/>
    </row>
    <row r="474" spans="2:2" ht="12.75">
      <c r="B474"/>
    </row>
    <row r="475" spans="2:2" ht="12.75">
      <c r="B475"/>
    </row>
    <row r="476" spans="2:2" ht="12.75">
      <c r="B476"/>
    </row>
    <row r="477" spans="2:2" ht="12.75">
      <c r="B477"/>
    </row>
    <row r="478" spans="2:2" ht="12.75">
      <c r="B478"/>
    </row>
    <row r="479" spans="2:2" ht="12.75">
      <c r="B479"/>
    </row>
    <row r="480" spans="2:2" ht="12.75">
      <c r="B480"/>
    </row>
    <row r="481" spans="2:2" ht="12.75">
      <c r="B481"/>
    </row>
    <row r="482" spans="2:2" ht="12.75">
      <c r="B482"/>
    </row>
    <row r="483" spans="2:2" ht="12.75">
      <c r="B483"/>
    </row>
    <row r="484" spans="2:2" ht="12.75">
      <c r="B484"/>
    </row>
    <row r="485" spans="2:2" ht="12.75">
      <c r="B485"/>
    </row>
    <row r="486" spans="2:2" ht="12.75">
      <c r="B486"/>
    </row>
    <row r="487" spans="2:2" ht="12.75">
      <c r="B487"/>
    </row>
    <row r="488" spans="2:2" ht="12.75">
      <c r="B488"/>
    </row>
    <row r="489" spans="2:2" ht="12.75">
      <c r="B489"/>
    </row>
    <row r="490" spans="2:2" ht="12.75">
      <c r="B490"/>
    </row>
    <row r="491" spans="2:2" ht="12.75">
      <c r="B491"/>
    </row>
    <row r="492" spans="2:2" ht="12.75">
      <c r="B492"/>
    </row>
    <row r="493" spans="2:2" ht="12.75">
      <c r="B493"/>
    </row>
    <row r="494" spans="2:2" ht="12.75">
      <c r="B494"/>
    </row>
    <row r="495" spans="2:2" ht="12.75">
      <c r="B495"/>
    </row>
    <row r="496" spans="2:2" ht="12.75">
      <c r="B496"/>
    </row>
    <row r="497" spans="2:2" ht="12.75">
      <c r="B497"/>
    </row>
    <row r="498" spans="2:2" ht="12.75">
      <c r="B498"/>
    </row>
    <row r="499" spans="2:2" ht="12.75">
      <c r="B499"/>
    </row>
    <row r="500" spans="2:2" ht="12.75">
      <c r="B500"/>
    </row>
    <row r="501" spans="2:2" ht="12.75">
      <c r="B501"/>
    </row>
    <row r="502" spans="2:2" ht="12.75">
      <c r="B502"/>
    </row>
    <row r="503" spans="2:2" ht="12.75">
      <c r="B503"/>
    </row>
    <row r="504" spans="2:2" ht="12.75">
      <c r="B504"/>
    </row>
    <row r="505" spans="2:2" ht="12.75">
      <c r="B505"/>
    </row>
    <row r="506" spans="2:2" ht="12.75">
      <c r="B506"/>
    </row>
    <row r="507" spans="2:2" ht="12.75">
      <c r="B507"/>
    </row>
    <row r="508" spans="2:2" ht="12.75">
      <c r="B508"/>
    </row>
    <row r="509" spans="2:2" ht="12.75">
      <c r="B509"/>
    </row>
    <row r="510" spans="2:2" ht="12.75">
      <c r="B510"/>
    </row>
    <row r="511" spans="2:2" ht="12.75">
      <c r="B511"/>
    </row>
    <row r="512" spans="2:2" ht="12.75">
      <c r="B512"/>
    </row>
    <row r="513" spans="2:2" ht="12.75">
      <c r="B513"/>
    </row>
    <row r="514" spans="2:2" ht="12.75">
      <c r="B514"/>
    </row>
    <row r="515" spans="2:2" ht="12.75">
      <c r="B515"/>
    </row>
    <row r="516" spans="2:2" ht="12.75">
      <c r="B516"/>
    </row>
    <row r="517" spans="2:2" ht="12.75">
      <c r="B517"/>
    </row>
    <row r="518" spans="2:2" ht="12.75">
      <c r="B518"/>
    </row>
    <row r="519" spans="2:2" ht="12.75">
      <c r="B519"/>
    </row>
    <row r="520" spans="2:2" ht="12.75">
      <c r="B520"/>
    </row>
    <row r="521" spans="2:2" ht="12.75">
      <c r="B521"/>
    </row>
    <row r="522" spans="2:2" ht="12.75">
      <c r="B522"/>
    </row>
    <row r="523" spans="2:2" ht="12.75">
      <c r="B523"/>
    </row>
    <row r="524" spans="2:2" ht="12.75">
      <c r="B524"/>
    </row>
    <row r="525" spans="2:2" ht="12.75">
      <c r="B525"/>
    </row>
    <row r="526" spans="2:2" ht="12.75">
      <c r="B526"/>
    </row>
    <row r="527" spans="2:2" ht="12.75">
      <c r="B527"/>
    </row>
    <row r="528" spans="2:2" ht="12.75">
      <c r="B528"/>
    </row>
    <row r="529" spans="2:2" ht="12.75">
      <c r="B529"/>
    </row>
    <row r="530" spans="2:2" ht="12.75">
      <c r="B530"/>
    </row>
    <row r="531" spans="2:2" ht="12.75">
      <c r="B531"/>
    </row>
    <row r="532" spans="2:2" ht="12.75">
      <c r="B532"/>
    </row>
    <row r="533" spans="2:2" ht="12.75">
      <c r="B533"/>
    </row>
    <row r="534" spans="2:2" ht="12.75">
      <c r="B534"/>
    </row>
    <row r="535" spans="2:2" ht="12.75">
      <c r="B535"/>
    </row>
    <row r="536" spans="2:2" ht="12.75">
      <c r="B536"/>
    </row>
    <row r="537" spans="2:2" ht="12.75">
      <c r="B537"/>
    </row>
    <row r="538" spans="2:2" ht="12.75">
      <c r="B538"/>
    </row>
    <row r="539" spans="2:2" ht="12.75">
      <c r="B539"/>
    </row>
    <row r="540" spans="2:2" ht="12.75">
      <c r="B540"/>
    </row>
    <row r="541" spans="2:2" ht="12.75">
      <c r="B541"/>
    </row>
    <row r="542" spans="2:2" ht="12.75">
      <c r="B542"/>
    </row>
    <row r="543" spans="2:2" ht="12.75">
      <c r="B543"/>
    </row>
    <row r="544" spans="2:2" ht="12.75">
      <c r="B544"/>
    </row>
    <row r="545" spans="2:2" ht="12.75">
      <c r="B545"/>
    </row>
    <row r="546" spans="2:2" ht="12.75">
      <c r="B546"/>
    </row>
    <row r="547" spans="2:2" ht="12.75">
      <c r="B547"/>
    </row>
    <row r="548" spans="2:2" ht="12.75">
      <c r="B548"/>
    </row>
    <row r="549" spans="2:2" ht="12.75">
      <c r="B549"/>
    </row>
    <row r="550" spans="2:2" ht="12.75">
      <c r="B550"/>
    </row>
    <row r="551" spans="2:2" ht="12.75">
      <c r="B551"/>
    </row>
    <row r="552" spans="2:2" ht="12.75">
      <c r="B552"/>
    </row>
    <row r="553" spans="2:2" ht="12.75">
      <c r="B553"/>
    </row>
    <row r="554" spans="2:2" ht="12.75">
      <c r="B554"/>
    </row>
    <row r="555" spans="2:2" ht="12.75">
      <c r="B555"/>
    </row>
    <row r="556" spans="2:2" ht="12.75">
      <c r="B556"/>
    </row>
    <row r="557" spans="2:2" ht="12.75">
      <c r="B557"/>
    </row>
    <row r="558" spans="2:2" ht="12.75">
      <c r="B558"/>
    </row>
    <row r="559" spans="2:2" ht="12.75">
      <c r="B559"/>
    </row>
    <row r="560" spans="2:2" ht="12.75">
      <c r="B560"/>
    </row>
    <row r="561" spans="2:2" ht="12.75">
      <c r="B561"/>
    </row>
    <row r="562" spans="2:2" ht="12.75">
      <c r="B562"/>
    </row>
    <row r="563" spans="2:2" ht="12.75">
      <c r="B563"/>
    </row>
    <row r="564" spans="2:2" ht="12.75">
      <c r="B564"/>
    </row>
    <row r="565" spans="2:2" ht="12.75">
      <c r="B565"/>
    </row>
    <row r="566" spans="2:2" ht="12.75">
      <c r="B566"/>
    </row>
    <row r="567" spans="2:2" ht="12.75">
      <c r="B567"/>
    </row>
    <row r="568" spans="2:2" ht="12.75">
      <c r="B568"/>
    </row>
    <row r="569" spans="2:2" ht="12.75">
      <c r="B569"/>
    </row>
    <row r="570" spans="2:2" ht="12.75">
      <c r="B570"/>
    </row>
    <row r="571" spans="2:2" ht="12.75">
      <c r="B571"/>
    </row>
    <row r="572" spans="2:2" ht="12.75">
      <c r="B572"/>
    </row>
    <row r="573" spans="2:2" ht="12.75">
      <c r="B573"/>
    </row>
    <row r="574" spans="2:2" ht="12.75">
      <c r="B574"/>
    </row>
    <row r="575" spans="2:2" ht="12.75">
      <c r="B575"/>
    </row>
    <row r="576" spans="2:2" ht="12.75">
      <c r="B576"/>
    </row>
    <row r="577" spans="2:2" ht="12.75">
      <c r="B577"/>
    </row>
    <row r="578" spans="2:2" ht="12.75">
      <c r="B578"/>
    </row>
    <row r="579" spans="2:2" ht="12.75">
      <c r="B579"/>
    </row>
    <row r="580" spans="2:2" ht="12.75">
      <c r="B580"/>
    </row>
    <row r="581" spans="2:2" ht="12.75">
      <c r="B581"/>
    </row>
    <row r="582" spans="2:2" ht="12.75">
      <c r="B582"/>
    </row>
    <row r="583" spans="2:2" ht="12.75">
      <c r="B583"/>
    </row>
    <row r="584" spans="2:2" ht="12.75">
      <c r="B584"/>
    </row>
    <row r="585" spans="2:2" ht="12.75">
      <c r="B585"/>
    </row>
    <row r="586" spans="2:2" ht="12.75">
      <c r="B586"/>
    </row>
    <row r="587" spans="2:2" ht="12.75">
      <c r="B587"/>
    </row>
    <row r="588" spans="2:2" ht="12.75">
      <c r="B588"/>
    </row>
    <row r="589" spans="2:2" ht="12.75">
      <c r="B589"/>
    </row>
    <row r="590" spans="2:2" ht="12.75">
      <c r="B590"/>
    </row>
    <row r="591" spans="2:2" ht="12.75">
      <c r="B591"/>
    </row>
    <row r="592" spans="2:2" ht="12.75">
      <c r="B592"/>
    </row>
    <row r="593" spans="2:2" ht="12.75">
      <c r="B593"/>
    </row>
    <row r="594" spans="2:2" ht="12.75">
      <c r="B594"/>
    </row>
    <row r="595" spans="2:2" ht="12.75">
      <c r="B595"/>
    </row>
    <row r="596" spans="2:2" ht="12.75">
      <c r="B596"/>
    </row>
    <row r="597" spans="2:2" ht="12.75">
      <c r="B597"/>
    </row>
    <row r="598" spans="2:2" ht="12.75">
      <c r="B598"/>
    </row>
    <row r="599" spans="2:2" ht="12.75">
      <c r="B599"/>
    </row>
    <row r="600" spans="2:2" ht="12.75">
      <c r="B600"/>
    </row>
    <row r="601" spans="2:2" ht="12.75">
      <c r="B601"/>
    </row>
    <row r="602" spans="2:2" ht="12.75">
      <c r="B602"/>
    </row>
    <row r="603" spans="2:2" ht="12.75">
      <c r="B603"/>
    </row>
    <row r="604" spans="2:2" ht="12.75">
      <c r="B60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A039-9940-4D44-92FA-182492A892D6}">
  <dimension ref="A1:Y47"/>
  <sheetViews>
    <sheetView showGridLines="0" workbookViewId="0">
      <selection activeCell="H15" sqref="H15"/>
    </sheetView>
  </sheetViews>
  <sheetFormatPr defaultRowHeight="12.75"/>
  <cols>
    <col min="1" max="1" width="13.5703125" style="54" customWidth="1"/>
    <col min="2" max="2" width="16" style="60" customWidth="1"/>
    <col min="3" max="4" width="11.42578125" style="7" customWidth="1"/>
    <col min="5" max="5" width="12" customWidth="1"/>
    <col min="6" max="6" width="28.7109375" customWidth="1"/>
  </cols>
  <sheetData>
    <row r="1" spans="1:25" ht="12.75" customHeight="1">
      <c r="A1" s="56"/>
      <c r="B1" s="63" t="s">
        <v>27</v>
      </c>
      <c r="C1" s="61" t="s">
        <v>28</v>
      </c>
      <c r="D1" s="62" t="s">
        <v>29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 ht="12.75" customHeight="1">
      <c r="A2" s="56"/>
      <c r="B2" s="64" t="s">
        <v>30</v>
      </c>
      <c r="C2" s="65">
        <v>78301520</v>
      </c>
      <c r="D2" s="66">
        <v>65693800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spans="1:25" ht="12.75" customHeight="1">
      <c r="A3" s="56"/>
      <c r="B3" s="67" t="s">
        <v>31</v>
      </c>
      <c r="C3" s="68">
        <v>44197980</v>
      </c>
      <c r="D3" s="69">
        <v>39348090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5" ht="12.75" customHeight="1">
      <c r="A4" s="56"/>
      <c r="B4" s="67" t="s">
        <v>32</v>
      </c>
      <c r="C4" s="68">
        <v>73358910</v>
      </c>
      <c r="D4" s="69">
        <v>63501450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ht="12.75" customHeight="1">
      <c r="A5" s="56"/>
      <c r="B5" s="70" t="s">
        <v>13</v>
      </c>
      <c r="C5" s="71">
        <v>195858410</v>
      </c>
      <c r="D5" s="72">
        <v>168543340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ht="12.75" customHeight="1">
      <c r="A6" s="56"/>
      <c r="B6"/>
      <c r="C6"/>
      <c r="D6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2.75" customHeight="1">
      <c r="A7" s="56"/>
      <c r="B7"/>
      <c r="C7"/>
      <c r="D7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spans="1:25" ht="12.75" customHeight="1">
      <c r="A8" s="56"/>
      <c r="B8"/>
      <c r="C8"/>
      <c r="D8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spans="1:25">
      <c r="A9" s="56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spans="1:25">
      <c r="A10" s="56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spans="1:25">
      <c r="A11" s="56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spans="1:25">
      <c r="A12" s="56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spans="1:25">
      <c r="A13" s="56"/>
      <c r="E13" s="58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spans="1:25">
      <c r="A14" s="56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spans="1:25">
      <c r="A15" s="56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spans="1:25" ht="42" customHeight="1">
      <c r="A16" s="56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spans="1:25">
      <c r="A17" s="56"/>
      <c r="B17" s="59"/>
      <c r="C17" s="56"/>
      <c r="D17" s="57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spans="1:25">
      <c r="A18" s="56"/>
      <c r="B18" s="59"/>
      <c r="C18" s="57"/>
      <c r="D18" s="57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5">
      <c r="A19" s="56"/>
      <c r="B19" s="59"/>
      <c r="C19" s="57"/>
      <c r="D19" s="57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r="20" spans="1:25">
      <c r="A20" s="56"/>
      <c r="B20" s="59"/>
      <c r="C20" s="57"/>
      <c r="D20" s="57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spans="1:25">
      <c r="A21" s="56"/>
      <c r="B21" s="59"/>
      <c r="C21" s="57"/>
      <c r="D21" s="57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 spans="1:25">
      <c r="A22" s="56"/>
      <c r="B22" s="59"/>
      <c r="C22" s="57"/>
      <c r="D22" s="57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spans="1:25">
      <c r="A23" s="56"/>
      <c r="B23" s="59"/>
      <c r="C23" s="57"/>
      <c r="D23" s="57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25">
      <c r="A24" s="56"/>
      <c r="B24" s="59"/>
      <c r="C24" s="57"/>
      <c r="D24" s="57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1:25">
      <c r="A25" s="56"/>
      <c r="B25" s="59"/>
      <c r="C25" s="57"/>
      <c r="D25" s="57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25">
      <c r="A26" s="56"/>
      <c r="B26" s="59"/>
      <c r="C26" s="57"/>
      <c r="D26" s="57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1:25">
      <c r="A27" s="56"/>
      <c r="B27" s="59"/>
      <c r="C27" s="57"/>
      <c r="D27" s="57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25">
      <c r="A28" s="56"/>
      <c r="B28" s="59"/>
      <c r="C28" s="57"/>
      <c r="D28" s="57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1:25">
      <c r="A29" s="56"/>
      <c r="B29" s="59"/>
      <c r="C29" s="57"/>
      <c r="D29" s="57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1:25">
      <c r="A30" s="56"/>
      <c r="B30" s="59"/>
      <c r="C30" s="57"/>
      <c r="D30" s="57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1:25">
      <c r="A31" s="56"/>
      <c r="B31" s="59"/>
      <c r="C31" s="57"/>
      <c r="D31" s="57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1:25">
      <c r="A32" s="56"/>
      <c r="B32" s="59"/>
      <c r="C32" s="57"/>
      <c r="D32" s="57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1:25">
      <c r="A33" s="56"/>
      <c r="B33" s="59"/>
      <c r="C33" s="57"/>
      <c r="D33" s="57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 spans="1:25">
      <c r="A34" s="56"/>
      <c r="B34" s="59"/>
      <c r="C34" s="57"/>
      <c r="D34" s="57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 spans="1:25">
      <c r="A35" s="56"/>
      <c r="B35" s="59"/>
      <c r="C35" s="57"/>
      <c r="D35" s="57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 spans="1:25">
      <c r="A36" s="56"/>
      <c r="B36" s="59"/>
      <c r="C36" s="57"/>
      <c r="D36" s="57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 spans="1:25">
      <c r="A37" s="56"/>
      <c r="B37" s="59"/>
      <c r="C37" s="57"/>
      <c r="D37" s="57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 spans="1:25">
      <c r="A38" s="56"/>
      <c r="B38" s="59"/>
      <c r="C38" s="57"/>
      <c r="D38" s="57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 spans="1:25">
      <c r="A39" s="56"/>
      <c r="B39" s="59"/>
      <c r="C39" s="57"/>
      <c r="D39" s="57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 spans="1:25">
      <c r="A40" s="56"/>
      <c r="B40" s="59"/>
      <c r="C40" s="57"/>
      <c r="D40" s="57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 spans="1:25">
      <c r="A41" s="56"/>
      <c r="B41" s="59"/>
      <c r="C41" s="57"/>
      <c r="D41" s="57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spans="1:25">
      <c r="A42" s="56"/>
      <c r="B42" s="59"/>
      <c r="C42" s="57"/>
      <c r="D42" s="57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 spans="1:25">
      <c r="A43" s="56"/>
      <c r="B43" s="59"/>
      <c r="C43" s="57"/>
      <c r="D43" s="57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 spans="1:25">
      <c r="A44" s="56"/>
      <c r="B44" s="59"/>
      <c r="C44" s="57"/>
      <c r="D44" s="57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 spans="1:25">
      <c r="A45" s="56"/>
      <c r="B45" s="59"/>
      <c r="C45" s="57"/>
      <c r="D45" s="57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 spans="1:25">
      <c r="A46" s="56"/>
      <c r="B46" s="59"/>
      <c r="C46" s="57"/>
      <c r="D46" s="57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 spans="1:25">
      <c r="A47" s="56"/>
      <c r="B47" s="59"/>
      <c r="C47" s="57"/>
      <c r="D47" s="57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7CEF-4ECC-4F59-83A2-882C1C5326A2}">
  <dimension ref="A1:D205"/>
  <sheetViews>
    <sheetView workbookViewId="0">
      <selection activeCell="H25" sqref="H25"/>
    </sheetView>
  </sheetViews>
  <sheetFormatPr defaultRowHeight="12.75"/>
  <cols>
    <col min="1" max="1" width="27.85546875" customWidth="1"/>
    <col min="2" max="2" width="10.7109375" style="7" bestFit="1" customWidth="1"/>
    <col min="3" max="3" width="13.28515625" style="104" bestFit="1" customWidth="1"/>
    <col min="4" max="4" width="28.140625" customWidth="1"/>
  </cols>
  <sheetData>
    <row r="1" spans="1:4" ht="13.5">
      <c r="A1" s="109" t="s">
        <v>19</v>
      </c>
      <c r="B1" s="113" t="s">
        <v>33</v>
      </c>
    </row>
    <row r="3" spans="1:4" s="54" customFormat="1" ht="13.5">
      <c r="A3" s="118" t="s">
        <v>34</v>
      </c>
      <c r="B3" s="119" t="s">
        <v>21</v>
      </c>
      <c r="C3" s="120" t="s">
        <v>35</v>
      </c>
    </row>
    <row r="4" spans="1:4" ht="13.5">
      <c r="A4" s="1" t="s">
        <v>36</v>
      </c>
      <c r="B4" s="5">
        <v>787000</v>
      </c>
      <c r="C4" s="110">
        <v>46023</v>
      </c>
    </row>
    <row r="5" spans="1:4" ht="13.5">
      <c r="A5" s="3" t="s">
        <v>37</v>
      </c>
      <c r="B5" s="105">
        <v>558390</v>
      </c>
      <c r="C5" s="111">
        <v>46053</v>
      </c>
    </row>
    <row r="6" spans="1:4" ht="13.5">
      <c r="A6" s="3" t="s">
        <v>38</v>
      </c>
      <c r="B6" s="105">
        <v>535300</v>
      </c>
      <c r="C6" s="111">
        <v>45995</v>
      </c>
    </row>
    <row r="7" spans="1:4" ht="13.5">
      <c r="A7" s="3" t="s">
        <v>39</v>
      </c>
      <c r="B7" s="105">
        <v>506150</v>
      </c>
      <c r="C7" s="111">
        <v>45974</v>
      </c>
    </row>
    <row r="8" spans="1:4" ht="13.5">
      <c r="A8" s="3" t="s">
        <v>40</v>
      </c>
      <c r="B8" s="105">
        <v>466570</v>
      </c>
      <c r="C8" s="111">
        <v>46035</v>
      </c>
    </row>
    <row r="9" spans="1:4" ht="13.5">
      <c r="A9" s="3" t="s">
        <v>41</v>
      </c>
      <c r="B9" s="105">
        <v>466180</v>
      </c>
      <c r="C9" s="111">
        <v>46050</v>
      </c>
      <c r="D9" s="8"/>
    </row>
    <row r="10" spans="1:4" ht="13.5">
      <c r="A10" s="3" t="s">
        <v>42</v>
      </c>
      <c r="B10" s="105">
        <v>455090</v>
      </c>
      <c r="C10" s="111">
        <v>46049</v>
      </c>
    </row>
    <row r="11" spans="1:4" ht="13.5">
      <c r="A11" s="3" t="s">
        <v>43</v>
      </c>
      <c r="B11" s="105">
        <v>428370</v>
      </c>
      <c r="C11" s="111">
        <v>46028</v>
      </c>
    </row>
    <row r="12" spans="1:4" ht="13.5">
      <c r="A12" s="3" t="s">
        <v>44</v>
      </c>
      <c r="B12" s="105">
        <v>425630</v>
      </c>
      <c r="C12" s="111">
        <v>45976</v>
      </c>
    </row>
    <row r="13" spans="1:4" ht="13.5">
      <c r="A13" s="3" t="s">
        <v>45</v>
      </c>
      <c r="B13" s="105">
        <v>425280</v>
      </c>
      <c r="C13" s="111">
        <v>45995</v>
      </c>
    </row>
    <row r="14" spans="1:4" ht="13.5">
      <c r="A14" s="3" t="s">
        <v>46</v>
      </c>
      <c r="B14" s="105">
        <v>407940</v>
      </c>
      <c r="C14" s="111">
        <v>46048</v>
      </c>
    </row>
    <row r="15" spans="1:4" ht="13.5">
      <c r="A15" s="3" t="s">
        <v>47</v>
      </c>
      <c r="B15" s="105">
        <v>392700</v>
      </c>
      <c r="C15" s="111">
        <v>46006</v>
      </c>
    </row>
    <row r="16" spans="1:4" ht="13.5">
      <c r="A16" s="3" t="s">
        <v>48</v>
      </c>
      <c r="B16" s="105">
        <v>391570</v>
      </c>
      <c r="C16" s="111">
        <v>46032</v>
      </c>
    </row>
    <row r="17" spans="1:3" ht="13.5">
      <c r="A17" s="3" t="s">
        <v>49</v>
      </c>
      <c r="B17" s="105">
        <v>384680</v>
      </c>
      <c r="C17" s="111">
        <v>46039</v>
      </c>
    </row>
    <row r="18" spans="1:3" ht="13.5">
      <c r="A18" s="3" t="s">
        <v>50</v>
      </c>
      <c r="B18" s="105">
        <v>367610</v>
      </c>
      <c r="C18" s="111">
        <v>45971</v>
      </c>
    </row>
    <row r="19" spans="1:3" ht="13.5">
      <c r="A19" s="3" t="s">
        <v>51</v>
      </c>
      <c r="B19" s="105">
        <v>360860</v>
      </c>
      <c r="C19" s="111">
        <v>46040</v>
      </c>
    </row>
    <row r="20" spans="1:3" ht="13.5">
      <c r="A20" s="3" t="s">
        <v>52</v>
      </c>
      <c r="B20" s="105">
        <v>358560</v>
      </c>
      <c r="C20" s="111">
        <v>45988</v>
      </c>
    </row>
    <row r="21" spans="1:3" ht="13.5">
      <c r="A21" s="3" t="s">
        <v>53</v>
      </c>
      <c r="B21" s="105">
        <v>350740</v>
      </c>
      <c r="C21" s="111">
        <v>46009</v>
      </c>
    </row>
    <row r="22" spans="1:3" ht="13.5">
      <c r="A22" s="3" t="s">
        <v>54</v>
      </c>
      <c r="B22" s="105">
        <v>349320</v>
      </c>
      <c r="C22" s="111">
        <v>45996</v>
      </c>
    </row>
    <row r="23" spans="1:3" ht="13.5">
      <c r="A23" s="3" t="s">
        <v>55</v>
      </c>
      <c r="B23" s="105">
        <v>341800</v>
      </c>
      <c r="C23" s="111">
        <v>46012</v>
      </c>
    </row>
    <row r="24" spans="1:3" ht="13.5">
      <c r="A24" s="3" t="s">
        <v>56</v>
      </c>
      <c r="B24" s="105">
        <v>336800</v>
      </c>
      <c r="C24" s="111">
        <v>46020</v>
      </c>
    </row>
    <row r="25" spans="1:3" ht="13.5">
      <c r="A25" s="3" t="s">
        <v>57</v>
      </c>
      <c r="B25" s="105">
        <v>330350</v>
      </c>
      <c r="C25" s="111">
        <v>46046</v>
      </c>
    </row>
    <row r="26" spans="1:3" ht="13.5">
      <c r="A26" s="3" t="s">
        <v>58</v>
      </c>
      <c r="B26" s="105">
        <v>327130</v>
      </c>
      <c r="C26" s="111">
        <v>46018</v>
      </c>
    </row>
    <row r="27" spans="1:3" ht="13.5">
      <c r="A27" s="3" t="s">
        <v>59</v>
      </c>
      <c r="B27" s="105">
        <v>325040</v>
      </c>
      <c r="C27" s="111">
        <v>46024</v>
      </c>
    </row>
    <row r="28" spans="1:3" ht="13.5">
      <c r="A28" s="3" t="s">
        <v>60</v>
      </c>
      <c r="B28" s="105">
        <v>320440</v>
      </c>
      <c r="C28" s="111">
        <v>46038</v>
      </c>
    </row>
    <row r="29" spans="1:3" ht="13.5">
      <c r="A29" s="3" t="s">
        <v>61</v>
      </c>
      <c r="B29" s="105">
        <v>320280</v>
      </c>
      <c r="C29" s="111">
        <v>46026</v>
      </c>
    </row>
    <row r="30" spans="1:3" ht="13.5">
      <c r="A30" s="3" t="s">
        <v>62</v>
      </c>
      <c r="B30" s="105">
        <v>318800</v>
      </c>
      <c r="C30" s="111">
        <v>45984</v>
      </c>
    </row>
    <row r="31" spans="1:3" ht="13.5">
      <c r="A31" s="3" t="s">
        <v>63</v>
      </c>
      <c r="B31" s="105">
        <v>318630</v>
      </c>
      <c r="C31" s="111">
        <v>45986</v>
      </c>
    </row>
    <row r="32" spans="1:3" ht="13.5">
      <c r="A32" s="3" t="s">
        <v>64</v>
      </c>
      <c r="B32" s="105">
        <v>309810</v>
      </c>
      <c r="C32" s="111">
        <v>46029</v>
      </c>
    </row>
    <row r="33" spans="1:3" ht="13.5">
      <c r="A33" s="3" t="s">
        <v>65</v>
      </c>
      <c r="B33" s="105">
        <v>308510</v>
      </c>
      <c r="C33" s="111">
        <v>45999</v>
      </c>
    </row>
    <row r="34" spans="1:3" ht="13.5">
      <c r="A34" s="3" t="s">
        <v>66</v>
      </c>
      <c r="B34" s="105">
        <v>305990</v>
      </c>
      <c r="C34" s="111">
        <v>46037</v>
      </c>
    </row>
    <row r="35" spans="1:3" ht="13.5">
      <c r="A35" s="3" t="s">
        <v>67</v>
      </c>
      <c r="B35" s="105">
        <v>305040</v>
      </c>
      <c r="C35" s="111">
        <v>46000</v>
      </c>
    </row>
    <row r="36" spans="1:3" ht="13.5">
      <c r="A36" s="3" t="s">
        <v>68</v>
      </c>
      <c r="B36" s="105">
        <v>302410</v>
      </c>
      <c r="C36" s="111">
        <v>46001</v>
      </c>
    </row>
    <row r="37" spans="1:3" ht="13.5">
      <c r="A37" s="3" t="s">
        <v>69</v>
      </c>
      <c r="B37" s="105">
        <v>298440</v>
      </c>
      <c r="C37" s="111">
        <v>46033</v>
      </c>
    </row>
    <row r="38" spans="1:3" ht="13.5">
      <c r="A38" s="3" t="s">
        <v>70</v>
      </c>
      <c r="B38" s="105">
        <v>290590</v>
      </c>
      <c r="C38" s="111">
        <v>46050</v>
      </c>
    </row>
    <row r="39" spans="1:3" ht="13.5">
      <c r="A39" s="3" t="s">
        <v>71</v>
      </c>
      <c r="B39" s="105">
        <v>290140</v>
      </c>
      <c r="C39" s="111">
        <v>46045</v>
      </c>
    </row>
    <row r="40" spans="1:3" ht="13.5">
      <c r="A40" s="3" t="s">
        <v>72</v>
      </c>
      <c r="B40" s="105">
        <v>289000</v>
      </c>
      <c r="C40" s="111">
        <v>46002</v>
      </c>
    </row>
    <row r="41" spans="1:3" ht="13.5">
      <c r="A41" s="3" t="s">
        <v>73</v>
      </c>
      <c r="B41" s="105">
        <v>277600</v>
      </c>
      <c r="C41" s="111">
        <v>46024</v>
      </c>
    </row>
    <row r="42" spans="1:3" ht="13.5">
      <c r="A42" s="3" t="s">
        <v>74</v>
      </c>
      <c r="B42" s="105">
        <v>269350</v>
      </c>
      <c r="C42" s="111">
        <v>46038</v>
      </c>
    </row>
    <row r="43" spans="1:3" ht="13.5">
      <c r="A43" s="3" t="s">
        <v>75</v>
      </c>
      <c r="B43" s="105">
        <v>268900</v>
      </c>
      <c r="C43" s="111">
        <v>45971</v>
      </c>
    </row>
    <row r="44" spans="1:3" ht="13.5">
      <c r="A44" s="3" t="s">
        <v>76</v>
      </c>
      <c r="B44" s="105">
        <v>267730</v>
      </c>
      <c r="C44" s="111">
        <v>45996</v>
      </c>
    </row>
    <row r="45" spans="1:3" ht="13.5">
      <c r="A45" s="3" t="s">
        <v>77</v>
      </c>
      <c r="B45" s="105">
        <v>266450</v>
      </c>
      <c r="C45" s="111">
        <v>45975</v>
      </c>
    </row>
    <row r="46" spans="1:3" ht="13.5">
      <c r="A46" s="3" t="s">
        <v>78</v>
      </c>
      <c r="B46" s="105">
        <v>266010</v>
      </c>
      <c r="C46" s="111">
        <v>46036</v>
      </c>
    </row>
    <row r="47" spans="1:3" ht="13.5">
      <c r="A47" s="3" t="s">
        <v>79</v>
      </c>
      <c r="B47" s="105">
        <v>265770</v>
      </c>
      <c r="C47" s="111">
        <v>45988</v>
      </c>
    </row>
    <row r="48" spans="1:3" ht="13.5">
      <c r="A48" s="3" t="s">
        <v>80</v>
      </c>
      <c r="B48" s="105">
        <v>260370</v>
      </c>
      <c r="C48" s="111">
        <v>45992</v>
      </c>
    </row>
    <row r="49" spans="1:3" ht="27.75">
      <c r="A49" s="3" t="s">
        <v>81</v>
      </c>
      <c r="B49" s="105">
        <v>244960</v>
      </c>
      <c r="C49" s="111">
        <v>46027</v>
      </c>
    </row>
    <row r="50" spans="1:3" ht="13.5">
      <c r="A50" s="3" t="s">
        <v>82</v>
      </c>
      <c r="B50" s="105">
        <v>238420</v>
      </c>
      <c r="C50" s="111">
        <v>46052</v>
      </c>
    </row>
    <row r="51" spans="1:3" ht="13.5">
      <c r="A51" s="3" t="s">
        <v>83</v>
      </c>
      <c r="B51" s="105">
        <v>234370</v>
      </c>
      <c r="C51" s="111">
        <v>46000</v>
      </c>
    </row>
    <row r="52" spans="1:3" ht="13.5">
      <c r="A52" s="3" t="s">
        <v>84</v>
      </c>
      <c r="B52" s="105">
        <v>226970</v>
      </c>
      <c r="C52" s="111">
        <v>45994</v>
      </c>
    </row>
    <row r="53" spans="1:3" ht="13.5">
      <c r="A53" s="3" t="s">
        <v>85</v>
      </c>
      <c r="B53" s="105">
        <v>222980</v>
      </c>
      <c r="C53" s="111">
        <v>46006</v>
      </c>
    </row>
    <row r="54" spans="1:3" ht="13.5">
      <c r="A54" s="3" t="s">
        <v>86</v>
      </c>
      <c r="B54" s="105">
        <v>221060</v>
      </c>
      <c r="C54" s="111">
        <v>46033</v>
      </c>
    </row>
    <row r="55" spans="1:3" ht="13.5">
      <c r="A55" s="3" t="s">
        <v>87</v>
      </c>
      <c r="B55" s="105">
        <v>218850</v>
      </c>
      <c r="C55" s="111">
        <v>45988</v>
      </c>
    </row>
    <row r="56" spans="1:3" ht="13.5">
      <c r="A56" s="3" t="s">
        <v>88</v>
      </c>
      <c r="B56" s="105">
        <v>218600</v>
      </c>
      <c r="C56" s="111">
        <v>45987</v>
      </c>
    </row>
    <row r="57" spans="1:3" ht="13.5">
      <c r="A57" s="3" t="s">
        <v>89</v>
      </c>
      <c r="B57" s="105">
        <v>217850</v>
      </c>
      <c r="C57" s="111">
        <v>46025</v>
      </c>
    </row>
    <row r="58" spans="1:3" ht="13.5">
      <c r="A58" s="3" t="s">
        <v>90</v>
      </c>
      <c r="B58" s="105">
        <v>215240</v>
      </c>
      <c r="C58" s="111">
        <v>46043</v>
      </c>
    </row>
    <row r="59" spans="1:3" ht="13.5">
      <c r="A59" s="3" t="s">
        <v>91</v>
      </c>
      <c r="B59" s="105">
        <v>201680</v>
      </c>
      <c r="C59" s="111">
        <v>46024</v>
      </c>
    </row>
    <row r="60" spans="1:3" ht="13.5">
      <c r="A60" s="3" t="s">
        <v>92</v>
      </c>
      <c r="B60" s="105">
        <v>198680</v>
      </c>
      <c r="C60" s="111">
        <v>46031</v>
      </c>
    </row>
    <row r="61" spans="1:3" ht="13.5">
      <c r="A61" s="3" t="s">
        <v>93</v>
      </c>
      <c r="B61" s="105">
        <v>195680</v>
      </c>
      <c r="C61" s="111">
        <v>46023</v>
      </c>
    </row>
    <row r="62" spans="1:3" ht="13.5">
      <c r="A62" s="3" t="s">
        <v>94</v>
      </c>
      <c r="B62" s="105">
        <v>195280</v>
      </c>
      <c r="C62" s="111">
        <v>46046</v>
      </c>
    </row>
    <row r="63" spans="1:3" ht="13.5">
      <c r="A63" s="3" t="s">
        <v>95</v>
      </c>
      <c r="B63" s="105">
        <v>190970</v>
      </c>
      <c r="C63" s="111">
        <v>45982</v>
      </c>
    </row>
    <row r="64" spans="1:3" ht="13.5">
      <c r="A64" s="3" t="s">
        <v>96</v>
      </c>
      <c r="B64" s="105">
        <v>183070</v>
      </c>
      <c r="C64" s="111">
        <v>46053</v>
      </c>
    </row>
    <row r="65" spans="1:3" ht="13.5">
      <c r="A65" s="3" t="s">
        <v>97</v>
      </c>
      <c r="B65" s="105">
        <v>175520</v>
      </c>
      <c r="C65" s="111">
        <v>46018</v>
      </c>
    </row>
    <row r="66" spans="1:3" ht="13.5">
      <c r="A66" s="3" t="s">
        <v>98</v>
      </c>
      <c r="B66" s="105">
        <v>175260</v>
      </c>
      <c r="C66" s="111">
        <v>46051</v>
      </c>
    </row>
    <row r="67" spans="1:3" ht="13.5">
      <c r="A67" s="3" t="s">
        <v>99</v>
      </c>
      <c r="B67" s="105">
        <v>174570</v>
      </c>
      <c r="C67" s="111">
        <v>46001</v>
      </c>
    </row>
    <row r="68" spans="1:3" ht="13.5">
      <c r="A68" s="3" t="s">
        <v>100</v>
      </c>
      <c r="B68" s="105">
        <v>167960</v>
      </c>
      <c r="C68" s="111">
        <v>46002</v>
      </c>
    </row>
    <row r="69" spans="1:3" ht="13.5">
      <c r="A69" s="3" t="s">
        <v>101</v>
      </c>
      <c r="B69" s="105">
        <v>165470</v>
      </c>
      <c r="C69" s="111">
        <v>46000</v>
      </c>
    </row>
    <row r="70" spans="1:3" ht="13.5">
      <c r="A70" s="3" t="s">
        <v>102</v>
      </c>
      <c r="B70" s="105">
        <v>165000</v>
      </c>
      <c r="C70" s="111">
        <v>45992</v>
      </c>
    </row>
    <row r="71" spans="1:3" ht="13.5">
      <c r="A71" s="3" t="s">
        <v>103</v>
      </c>
      <c r="B71" s="105">
        <v>162700</v>
      </c>
      <c r="C71" s="111">
        <v>46010</v>
      </c>
    </row>
    <row r="72" spans="1:3" ht="13.5">
      <c r="A72" s="3" t="s">
        <v>104</v>
      </c>
      <c r="B72" s="105">
        <v>160010</v>
      </c>
      <c r="C72" s="111">
        <v>45976</v>
      </c>
    </row>
    <row r="73" spans="1:3" ht="13.5">
      <c r="A73" s="3" t="s">
        <v>105</v>
      </c>
      <c r="B73" s="105">
        <v>155600</v>
      </c>
      <c r="C73" s="111">
        <v>45993</v>
      </c>
    </row>
    <row r="74" spans="1:3" ht="13.5">
      <c r="A74" s="3" t="s">
        <v>106</v>
      </c>
      <c r="B74" s="105">
        <v>154650</v>
      </c>
      <c r="C74" s="111">
        <v>45979</v>
      </c>
    </row>
    <row r="75" spans="1:3" ht="13.5">
      <c r="A75" s="3" t="s">
        <v>107</v>
      </c>
      <c r="B75" s="105">
        <v>151930</v>
      </c>
      <c r="C75" s="111">
        <v>46012</v>
      </c>
    </row>
    <row r="76" spans="1:3" ht="13.5">
      <c r="A76" s="3" t="s">
        <v>108</v>
      </c>
      <c r="B76" s="105">
        <v>149130</v>
      </c>
      <c r="C76" s="111">
        <v>46020</v>
      </c>
    </row>
    <row r="77" spans="1:3" ht="13.5">
      <c r="A77" s="3" t="s">
        <v>109</v>
      </c>
      <c r="B77" s="105">
        <v>148950</v>
      </c>
      <c r="C77" s="111">
        <v>45973</v>
      </c>
    </row>
    <row r="78" spans="1:3" ht="13.5">
      <c r="A78" s="3" t="s">
        <v>110</v>
      </c>
      <c r="B78" s="105">
        <v>144250</v>
      </c>
      <c r="C78" s="111">
        <v>46002</v>
      </c>
    </row>
    <row r="79" spans="1:3" ht="13.5">
      <c r="A79" s="3" t="s">
        <v>111</v>
      </c>
      <c r="B79" s="105">
        <v>144110</v>
      </c>
      <c r="C79" s="111">
        <v>46050</v>
      </c>
    </row>
    <row r="80" spans="1:3" ht="13.5">
      <c r="A80" s="3" t="s">
        <v>112</v>
      </c>
      <c r="B80" s="105">
        <v>143130</v>
      </c>
      <c r="C80" s="111">
        <v>45987</v>
      </c>
    </row>
    <row r="81" spans="1:3" ht="13.5">
      <c r="A81" s="3" t="s">
        <v>113</v>
      </c>
      <c r="B81" s="105">
        <v>142760</v>
      </c>
      <c r="C81" s="111">
        <v>46047</v>
      </c>
    </row>
    <row r="82" spans="1:3" ht="13.5">
      <c r="A82" s="3" t="s">
        <v>114</v>
      </c>
      <c r="B82" s="105">
        <v>139960</v>
      </c>
      <c r="C82" s="111">
        <v>46009</v>
      </c>
    </row>
    <row r="83" spans="1:3" ht="13.5">
      <c r="A83" s="3" t="s">
        <v>115</v>
      </c>
      <c r="B83" s="105">
        <v>138310</v>
      </c>
      <c r="C83" s="111">
        <v>45996</v>
      </c>
    </row>
    <row r="84" spans="1:3" ht="13.5">
      <c r="A84" s="3" t="s">
        <v>116</v>
      </c>
      <c r="B84" s="105">
        <v>138200</v>
      </c>
      <c r="C84" s="111">
        <v>46003</v>
      </c>
    </row>
    <row r="85" spans="1:3" ht="13.5">
      <c r="A85" s="3" t="s">
        <v>117</v>
      </c>
      <c r="B85" s="105">
        <v>128930</v>
      </c>
      <c r="C85" s="111">
        <v>45992</v>
      </c>
    </row>
    <row r="86" spans="1:3" ht="13.5">
      <c r="A86" s="3" t="s">
        <v>118</v>
      </c>
      <c r="B86" s="105">
        <v>117460</v>
      </c>
      <c r="C86" s="111">
        <v>46034</v>
      </c>
    </row>
    <row r="87" spans="1:3" ht="13.5">
      <c r="A87" s="3" t="s">
        <v>119</v>
      </c>
      <c r="B87" s="105">
        <v>116280</v>
      </c>
      <c r="C87" s="111">
        <v>46033</v>
      </c>
    </row>
    <row r="88" spans="1:3" ht="13.5">
      <c r="A88" s="3" t="s">
        <v>120</v>
      </c>
      <c r="B88" s="105">
        <v>115670</v>
      </c>
      <c r="C88" s="111">
        <v>45971</v>
      </c>
    </row>
    <row r="89" spans="1:3" ht="13.5">
      <c r="A89" s="3" t="s">
        <v>121</v>
      </c>
      <c r="B89" s="105">
        <v>112940</v>
      </c>
      <c r="C89" s="111">
        <v>46045</v>
      </c>
    </row>
    <row r="90" spans="1:3" ht="13.5">
      <c r="A90" s="3" t="s">
        <v>122</v>
      </c>
      <c r="B90" s="105">
        <v>112280</v>
      </c>
      <c r="C90" s="111">
        <v>45980</v>
      </c>
    </row>
    <row r="91" spans="1:3" ht="13.5">
      <c r="A91" s="3" t="s">
        <v>123</v>
      </c>
      <c r="B91" s="105">
        <v>109750</v>
      </c>
      <c r="C91" s="111">
        <v>46011</v>
      </c>
    </row>
    <row r="92" spans="1:3" ht="13.5">
      <c r="A92" s="3" t="s">
        <v>124</v>
      </c>
      <c r="B92" s="105">
        <v>109400</v>
      </c>
      <c r="C92" s="111">
        <v>46001</v>
      </c>
    </row>
    <row r="93" spans="1:3" ht="13.5">
      <c r="A93" s="3" t="s">
        <v>125</v>
      </c>
      <c r="B93" s="105">
        <v>106530</v>
      </c>
      <c r="C93" s="111">
        <v>46047</v>
      </c>
    </row>
    <row r="94" spans="1:3" ht="13.5">
      <c r="A94" s="3" t="s">
        <v>126</v>
      </c>
      <c r="B94" s="105">
        <v>105900</v>
      </c>
      <c r="C94" s="111">
        <v>46021</v>
      </c>
    </row>
    <row r="95" spans="1:3" ht="13.5">
      <c r="A95" s="3" t="s">
        <v>127</v>
      </c>
      <c r="B95" s="105">
        <v>105070</v>
      </c>
      <c r="C95" s="111">
        <v>45974</v>
      </c>
    </row>
    <row r="96" spans="1:3" ht="13.5">
      <c r="A96" s="3" t="s">
        <v>128</v>
      </c>
      <c r="B96" s="105">
        <v>101600</v>
      </c>
      <c r="C96" s="111">
        <v>45995</v>
      </c>
    </row>
    <row r="97" spans="1:3" ht="13.5">
      <c r="A97" s="3" t="s">
        <v>129</v>
      </c>
      <c r="B97" s="105">
        <v>100000</v>
      </c>
      <c r="C97" s="111">
        <v>46019</v>
      </c>
    </row>
    <row r="98" spans="1:3" ht="13.5">
      <c r="A98" s="3" t="s">
        <v>130</v>
      </c>
      <c r="B98" s="105">
        <v>97000</v>
      </c>
      <c r="C98" s="111">
        <v>46037</v>
      </c>
    </row>
    <row r="99" spans="1:3" ht="13.5">
      <c r="A99" s="3" t="s">
        <v>131</v>
      </c>
      <c r="B99" s="105">
        <v>96170</v>
      </c>
      <c r="C99" s="111">
        <v>45982</v>
      </c>
    </row>
    <row r="100" spans="1:3" ht="13.5">
      <c r="A100" s="3" t="s">
        <v>132</v>
      </c>
      <c r="B100" s="105">
        <v>95930</v>
      </c>
      <c r="C100" s="111">
        <v>46018</v>
      </c>
    </row>
    <row r="101" spans="1:3" ht="13.5">
      <c r="A101" s="3" t="s">
        <v>133</v>
      </c>
      <c r="B101" s="105">
        <v>95180</v>
      </c>
      <c r="C101" s="111">
        <v>45982</v>
      </c>
    </row>
    <row r="102" spans="1:3" ht="13.5">
      <c r="A102" s="3" t="s">
        <v>134</v>
      </c>
      <c r="B102" s="105">
        <v>89010</v>
      </c>
      <c r="C102" s="111">
        <v>45982</v>
      </c>
    </row>
    <row r="103" spans="1:3" ht="13.5">
      <c r="A103" s="3" t="s">
        <v>135</v>
      </c>
      <c r="B103" s="105">
        <v>86290</v>
      </c>
      <c r="C103" s="111">
        <v>46002</v>
      </c>
    </row>
    <row r="104" spans="1:3" ht="13.5">
      <c r="A104" s="3" t="s">
        <v>136</v>
      </c>
      <c r="B104" s="105">
        <v>82890</v>
      </c>
      <c r="C104" s="111">
        <v>46041</v>
      </c>
    </row>
    <row r="105" spans="1:3" ht="13.5">
      <c r="A105" s="3" t="s">
        <v>137</v>
      </c>
      <c r="B105" s="105">
        <v>82550</v>
      </c>
      <c r="C105" s="111">
        <v>46041</v>
      </c>
    </row>
    <row r="106" spans="1:3" ht="13.5">
      <c r="A106" s="3" t="s">
        <v>138</v>
      </c>
      <c r="B106" s="105">
        <v>77000</v>
      </c>
      <c r="C106" s="111">
        <v>45982</v>
      </c>
    </row>
    <row r="107" spans="1:3" ht="13.5">
      <c r="A107" s="3" t="s">
        <v>139</v>
      </c>
      <c r="B107" s="105">
        <v>75700</v>
      </c>
      <c r="C107" s="111">
        <v>45991</v>
      </c>
    </row>
    <row r="108" spans="1:3" ht="13.5">
      <c r="A108" s="3" t="s">
        <v>140</v>
      </c>
      <c r="B108" s="105">
        <v>73100</v>
      </c>
      <c r="C108" s="111">
        <v>46044</v>
      </c>
    </row>
    <row r="109" spans="1:3" ht="13.5">
      <c r="A109" s="3" t="s">
        <v>141</v>
      </c>
      <c r="B109" s="105">
        <v>71610</v>
      </c>
      <c r="C109" s="111">
        <v>46035</v>
      </c>
    </row>
    <row r="110" spans="1:3" ht="13.5">
      <c r="A110" s="3" t="s">
        <v>142</v>
      </c>
      <c r="B110" s="105">
        <v>71120</v>
      </c>
      <c r="C110" s="111">
        <v>45981</v>
      </c>
    </row>
    <row r="111" spans="1:3" ht="13.5">
      <c r="A111" s="3" t="s">
        <v>143</v>
      </c>
      <c r="B111" s="105">
        <v>70840</v>
      </c>
      <c r="C111" s="111">
        <v>46033</v>
      </c>
    </row>
    <row r="112" spans="1:3" ht="13.5">
      <c r="A112" s="3" t="s">
        <v>144</v>
      </c>
      <c r="B112" s="105">
        <v>70610</v>
      </c>
      <c r="C112" s="111">
        <v>46029</v>
      </c>
    </row>
    <row r="113" spans="1:3" ht="13.5">
      <c r="A113" s="3" t="s">
        <v>145</v>
      </c>
      <c r="B113" s="105">
        <v>69620</v>
      </c>
      <c r="C113" s="111">
        <v>46046</v>
      </c>
    </row>
    <row r="114" spans="1:3" ht="13.5">
      <c r="A114" s="3" t="s">
        <v>146</v>
      </c>
      <c r="B114" s="105">
        <v>63020</v>
      </c>
      <c r="C114" s="111">
        <v>46022</v>
      </c>
    </row>
    <row r="115" spans="1:3" ht="13.5">
      <c r="A115" s="3" t="s">
        <v>147</v>
      </c>
      <c r="B115" s="105">
        <v>58680</v>
      </c>
      <c r="C115" s="111">
        <v>46012</v>
      </c>
    </row>
    <row r="116" spans="1:3" ht="13.5">
      <c r="A116" s="3" t="s">
        <v>148</v>
      </c>
      <c r="B116" s="105">
        <v>57900</v>
      </c>
      <c r="C116" s="111">
        <v>45990</v>
      </c>
    </row>
    <row r="117" spans="1:3" ht="13.5">
      <c r="A117" s="3" t="s">
        <v>149</v>
      </c>
      <c r="B117" s="105">
        <v>55660</v>
      </c>
      <c r="C117" s="111">
        <v>45986</v>
      </c>
    </row>
    <row r="118" spans="1:3" ht="13.5">
      <c r="A118" s="3" t="s">
        <v>150</v>
      </c>
      <c r="B118" s="105">
        <v>55470</v>
      </c>
      <c r="C118" s="111">
        <v>46023</v>
      </c>
    </row>
    <row r="119" spans="1:3" ht="13.5">
      <c r="A119" s="3" t="s">
        <v>151</v>
      </c>
      <c r="B119" s="105">
        <v>54790</v>
      </c>
      <c r="C119" s="111">
        <v>45995</v>
      </c>
    </row>
    <row r="120" spans="1:3" ht="13.5">
      <c r="A120" s="3" t="s">
        <v>152</v>
      </c>
      <c r="B120" s="105">
        <v>54280</v>
      </c>
      <c r="C120" s="111">
        <v>46009</v>
      </c>
    </row>
    <row r="121" spans="1:3" ht="13.5">
      <c r="A121" s="3" t="s">
        <v>153</v>
      </c>
      <c r="B121" s="105">
        <v>53580</v>
      </c>
      <c r="C121" s="111">
        <v>45995</v>
      </c>
    </row>
    <row r="122" spans="1:3" ht="13.5">
      <c r="A122" s="3" t="s">
        <v>154</v>
      </c>
      <c r="B122" s="105">
        <v>52000</v>
      </c>
      <c r="C122" s="111">
        <v>46007</v>
      </c>
    </row>
    <row r="123" spans="1:3" ht="13.5">
      <c r="A123" s="3" t="s">
        <v>155</v>
      </c>
      <c r="B123" s="105">
        <v>50640</v>
      </c>
      <c r="C123" s="111">
        <v>45992</v>
      </c>
    </row>
    <row r="124" spans="1:3" ht="13.5">
      <c r="A124" s="3" t="s">
        <v>156</v>
      </c>
      <c r="B124" s="105">
        <v>50000</v>
      </c>
      <c r="C124" s="111">
        <v>45995</v>
      </c>
    </row>
    <row r="125" spans="1:3" ht="13.5">
      <c r="A125" s="3" t="s">
        <v>157</v>
      </c>
      <c r="B125" s="105">
        <v>50000</v>
      </c>
      <c r="C125" s="111">
        <v>46037</v>
      </c>
    </row>
    <row r="126" spans="1:3" ht="13.5">
      <c r="A126" s="3" t="s">
        <v>158</v>
      </c>
      <c r="B126" s="105">
        <v>49540</v>
      </c>
      <c r="C126" s="111">
        <v>46003</v>
      </c>
    </row>
    <row r="127" spans="1:3" ht="13.5">
      <c r="A127" s="3" t="s">
        <v>159</v>
      </c>
      <c r="B127" s="105">
        <v>49000</v>
      </c>
      <c r="C127" s="111">
        <v>46045</v>
      </c>
    </row>
    <row r="128" spans="1:3" ht="13.5">
      <c r="A128" s="3" t="s">
        <v>160</v>
      </c>
      <c r="B128" s="105">
        <v>49000</v>
      </c>
      <c r="C128" s="111">
        <v>46021</v>
      </c>
    </row>
    <row r="129" spans="1:3" ht="13.5">
      <c r="A129" s="3" t="s">
        <v>161</v>
      </c>
      <c r="B129" s="105">
        <v>47500</v>
      </c>
      <c r="C129" s="111">
        <v>46052</v>
      </c>
    </row>
    <row r="130" spans="1:3" ht="13.5">
      <c r="A130" s="3" t="s">
        <v>162</v>
      </c>
      <c r="B130" s="105">
        <v>46190</v>
      </c>
      <c r="C130" s="111">
        <v>46020</v>
      </c>
    </row>
    <row r="131" spans="1:3" ht="13.5">
      <c r="A131" s="3" t="s">
        <v>163</v>
      </c>
      <c r="B131" s="105">
        <v>41670</v>
      </c>
      <c r="C131" s="111">
        <v>45976</v>
      </c>
    </row>
    <row r="132" spans="1:3" ht="13.5">
      <c r="A132" s="3" t="s">
        <v>164</v>
      </c>
      <c r="B132" s="105">
        <v>40460</v>
      </c>
      <c r="C132" s="111">
        <v>46008</v>
      </c>
    </row>
    <row r="133" spans="1:3" ht="13.5">
      <c r="A133" s="3" t="s">
        <v>165</v>
      </c>
      <c r="B133" s="105">
        <v>40270</v>
      </c>
      <c r="C133" s="111">
        <v>46049</v>
      </c>
    </row>
    <row r="134" spans="1:3" ht="13.5">
      <c r="A134" s="3" t="s">
        <v>166</v>
      </c>
      <c r="B134" s="105">
        <v>37160</v>
      </c>
      <c r="C134" s="111">
        <v>45978</v>
      </c>
    </row>
    <row r="135" spans="1:3" ht="13.5">
      <c r="A135" s="3" t="s">
        <v>167</v>
      </c>
      <c r="B135" s="105">
        <v>36290</v>
      </c>
      <c r="C135" s="111">
        <v>46010</v>
      </c>
    </row>
    <row r="136" spans="1:3" ht="13.5">
      <c r="A136" s="3" t="s">
        <v>168</v>
      </c>
      <c r="B136" s="105">
        <v>32680</v>
      </c>
      <c r="C136" s="111">
        <v>45977</v>
      </c>
    </row>
    <row r="137" spans="1:3" ht="13.5">
      <c r="A137" s="3" t="s">
        <v>169</v>
      </c>
      <c r="B137" s="105">
        <v>29000</v>
      </c>
      <c r="C137" s="111">
        <v>46051</v>
      </c>
    </row>
    <row r="138" spans="1:3" ht="13.5">
      <c r="A138" s="3" t="s">
        <v>170</v>
      </c>
      <c r="B138" s="105">
        <v>28670</v>
      </c>
      <c r="C138" s="111">
        <v>46051</v>
      </c>
    </row>
    <row r="139" spans="1:3" ht="13.5">
      <c r="A139" s="3" t="s">
        <v>171</v>
      </c>
      <c r="B139" s="105">
        <v>28000</v>
      </c>
      <c r="C139" s="111">
        <v>46026</v>
      </c>
    </row>
    <row r="140" spans="1:3" ht="13.5">
      <c r="A140" s="3" t="s">
        <v>172</v>
      </c>
      <c r="B140" s="105">
        <v>27600</v>
      </c>
      <c r="C140" s="111">
        <v>45990</v>
      </c>
    </row>
    <row r="141" spans="1:3" ht="13.5">
      <c r="A141" s="3" t="s">
        <v>173</v>
      </c>
      <c r="B141" s="105">
        <v>27500</v>
      </c>
      <c r="C141" s="111">
        <v>45996</v>
      </c>
    </row>
    <row r="142" spans="1:3" ht="13.5">
      <c r="A142" s="3" t="s">
        <v>174</v>
      </c>
      <c r="B142" s="105">
        <v>26730</v>
      </c>
      <c r="C142" s="111">
        <v>45993</v>
      </c>
    </row>
    <row r="143" spans="1:3" ht="13.5">
      <c r="A143" s="3" t="s">
        <v>175</v>
      </c>
      <c r="B143" s="105">
        <v>26200</v>
      </c>
      <c r="C143" s="111">
        <v>46053</v>
      </c>
    </row>
    <row r="144" spans="1:3" ht="13.5">
      <c r="A144" s="3" t="s">
        <v>176</v>
      </c>
      <c r="B144" s="105">
        <v>26090</v>
      </c>
      <c r="C144" s="111">
        <v>45975</v>
      </c>
    </row>
    <row r="145" spans="1:3" ht="13.5">
      <c r="A145" s="3" t="s">
        <v>177</v>
      </c>
      <c r="B145" s="105">
        <v>23900</v>
      </c>
      <c r="C145" s="111">
        <v>46047</v>
      </c>
    </row>
    <row r="146" spans="1:3" ht="13.5">
      <c r="A146" s="3" t="s">
        <v>178</v>
      </c>
      <c r="B146" s="105">
        <v>23560</v>
      </c>
      <c r="C146" s="111">
        <v>45978</v>
      </c>
    </row>
    <row r="147" spans="1:3" ht="13.5">
      <c r="A147" s="3" t="s">
        <v>179</v>
      </c>
      <c r="B147" s="105">
        <v>22660</v>
      </c>
      <c r="C147" s="111">
        <v>45984</v>
      </c>
    </row>
    <row r="148" spans="1:3" ht="13.5">
      <c r="A148" s="3" t="s">
        <v>180</v>
      </c>
      <c r="B148" s="105">
        <v>20200</v>
      </c>
      <c r="C148" s="111">
        <v>46015</v>
      </c>
    </row>
    <row r="149" spans="1:3" ht="13.5">
      <c r="A149" s="3" t="s">
        <v>181</v>
      </c>
      <c r="B149" s="105">
        <v>19700</v>
      </c>
      <c r="C149" s="111">
        <v>46012</v>
      </c>
    </row>
    <row r="150" spans="1:3" ht="13.5">
      <c r="A150" s="3" t="s">
        <v>182</v>
      </c>
      <c r="B150" s="105">
        <v>18920</v>
      </c>
      <c r="C150" s="111">
        <v>46021</v>
      </c>
    </row>
    <row r="151" spans="1:3" ht="13.5">
      <c r="A151" s="3" t="s">
        <v>183</v>
      </c>
      <c r="B151" s="105">
        <v>18000</v>
      </c>
      <c r="C151" s="111">
        <v>46003</v>
      </c>
    </row>
    <row r="152" spans="1:3" ht="13.5">
      <c r="A152" s="3" t="s">
        <v>184</v>
      </c>
      <c r="B152" s="105">
        <v>17070</v>
      </c>
      <c r="C152" s="111">
        <v>46036</v>
      </c>
    </row>
    <row r="153" spans="1:3" ht="13.5">
      <c r="A153" s="3" t="s">
        <v>185</v>
      </c>
      <c r="B153" s="105">
        <v>17000</v>
      </c>
      <c r="C153" s="111">
        <v>45995</v>
      </c>
    </row>
    <row r="154" spans="1:3" ht="13.5">
      <c r="A154" s="3" t="s">
        <v>186</v>
      </c>
      <c r="B154" s="105">
        <v>16790</v>
      </c>
      <c r="C154" s="111">
        <v>45976</v>
      </c>
    </row>
    <row r="155" spans="1:3" ht="13.5">
      <c r="A155" s="3" t="s">
        <v>187</v>
      </c>
      <c r="B155" s="105">
        <v>16020</v>
      </c>
      <c r="C155" s="111">
        <v>46002</v>
      </c>
    </row>
    <row r="156" spans="1:3" ht="13.5">
      <c r="A156" s="3" t="s">
        <v>188</v>
      </c>
      <c r="B156" s="105">
        <v>15000</v>
      </c>
      <c r="C156" s="111">
        <v>46021</v>
      </c>
    </row>
    <row r="157" spans="1:3" ht="13.5">
      <c r="A157" s="3" t="s">
        <v>189</v>
      </c>
      <c r="B157" s="105">
        <v>13470</v>
      </c>
      <c r="C157" s="111">
        <v>46017</v>
      </c>
    </row>
    <row r="158" spans="1:3" ht="13.5">
      <c r="A158" s="3" t="s">
        <v>190</v>
      </c>
      <c r="B158" s="105">
        <v>13030</v>
      </c>
      <c r="C158" s="111">
        <v>46027</v>
      </c>
    </row>
    <row r="159" spans="1:3" ht="13.5">
      <c r="A159" s="3" t="s">
        <v>191</v>
      </c>
      <c r="B159" s="105">
        <v>12800</v>
      </c>
      <c r="C159" s="111">
        <v>46038</v>
      </c>
    </row>
    <row r="160" spans="1:3" ht="13.5">
      <c r="A160" s="3" t="s">
        <v>192</v>
      </c>
      <c r="B160" s="105">
        <v>12470</v>
      </c>
      <c r="C160" s="111">
        <v>46041</v>
      </c>
    </row>
    <row r="161" spans="1:3" ht="13.5">
      <c r="A161" s="3" t="s">
        <v>193</v>
      </c>
      <c r="B161" s="105">
        <v>12000</v>
      </c>
      <c r="C161" s="111">
        <v>45983</v>
      </c>
    </row>
    <row r="162" spans="1:3" ht="13.5">
      <c r="A162" s="3" t="s">
        <v>194</v>
      </c>
      <c r="B162" s="105">
        <v>11000</v>
      </c>
      <c r="C162" s="111">
        <v>45973</v>
      </c>
    </row>
    <row r="163" spans="1:3" ht="13.5">
      <c r="A163" s="3" t="s">
        <v>195</v>
      </c>
      <c r="B163" s="105">
        <v>10800</v>
      </c>
      <c r="C163" s="111">
        <v>46002</v>
      </c>
    </row>
    <row r="164" spans="1:3" ht="13.5">
      <c r="A164" s="3" t="s">
        <v>196</v>
      </c>
      <c r="B164" s="105">
        <v>10580</v>
      </c>
      <c r="C164" s="111">
        <v>46027</v>
      </c>
    </row>
    <row r="165" spans="1:3" ht="13.5">
      <c r="A165" s="3" t="s">
        <v>197</v>
      </c>
      <c r="B165" s="105">
        <v>10290</v>
      </c>
      <c r="C165" s="111">
        <v>46007</v>
      </c>
    </row>
    <row r="166" spans="1:3" ht="13.5">
      <c r="A166" s="3" t="s">
        <v>198</v>
      </c>
      <c r="B166" s="105">
        <v>10180</v>
      </c>
      <c r="C166" s="111">
        <v>46015</v>
      </c>
    </row>
    <row r="167" spans="1:3" ht="13.5">
      <c r="A167" s="3" t="s">
        <v>199</v>
      </c>
      <c r="B167" s="105">
        <v>10000</v>
      </c>
      <c r="C167" s="111">
        <v>46030</v>
      </c>
    </row>
    <row r="168" spans="1:3" ht="13.5">
      <c r="A168" s="3" t="s">
        <v>200</v>
      </c>
      <c r="B168" s="105">
        <v>9000</v>
      </c>
      <c r="C168" s="111">
        <v>46051</v>
      </c>
    </row>
    <row r="169" spans="1:3" ht="13.5">
      <c r="A169" s="3" t="s">
        <v>201</v>
      </c>
      <c r="B169" s="105">
        <v>8500</v>
      </c>
      <c r="C169" s="111">
        <v>46035</v>
      </c>
    </row>
    <row r="170" spans="1:3" ht="13.5">
      <c r="A170" s="3" t="s">
        <v>202</v>
      </c>
      <c r="B170" s="105">
        <v>8300</v>
      </c>
      <c r="C170" s="111">
        <v>46053</v>
      </c>
    </row>
    <row r="171" spans="1:3" ht="13.5">
      <c r="A171" s="3" t="s">
        <v>203</v>
      </c>
      <c r="B171" s="105">
        <v>7750</v>
      </c>
      <c r="C171" s="111">
        <v>46050</v>
      </c>
    </row>
    <row r="172" spans="1:3" ht="13.5">
      <c r="A172" s="3" t="s">
        <v>204</v>
      </c>
      <c r="B172" s="105">
        <v>7500</v>
      </c>
      <c r="C172" s="111">
        <v>45985</v>
      </c>
    </row>
    <row r="173" spans="1:3" ht="13.5">
      <c r="A173" s="3" t="s">
        <v>205</v>
      </c>
      <c r="B173" s="105">
        <v>7070</v>
      </c>
      <c r="C173" s="111">
        <v>46044</v>
      </c>
    </row>
    <row r="174" spans="1:3" ht="13.5">
      <c r="A174" s="3" t="s">
        <v>206</v>
      </c>
      <c r="B174" s="105">
        <v>7000</v>
      </c>
      <c r="C174" s="111">
        <v>45972</v>
      </c>
    </row>
    <row r="175" spans="1:3" ht="13.5">
      <c r="A175" s="3" t="s">
        <v>207</v>
      </c>
      <c r="B175" s="105">
        <v>6660</v>
      </c>
      <c r="C175" s="111">
        <v>46005</v>
      </c>
    </row>
    <row r="176" spans="1:3" ht="13.5">
      <c r="A176" s="3" t="s">
        <v>208</v>
      </c>
      <c r="B176" s="105">
        <v>5190</v>
      </c>
      <c r="C176" s="111">
        <v>46031</v>
      </c>
    </row>
    <row r="177" spans="1:3" ht="13.5">
      <c r="A177" s="3" t="s">
        <v>209</v>
      </c>
      <c r="B177" s="105">
        <v>5140</v>
      </c>
      <c r="C177" s="111">
        <v>46020</v>
      </c>
    </row>
    <row r="178" spans="1:3" ht="13.5">
      <c r="A178" s="3" t="s">
        <v>210</v>
      </c>
      <c r="B178" s="105">
        <v>4830</v>
      </c>
      <c r="C178" s="111">
        <v>46047</v>
      </c>
    </row>
    <row r="179" spans="1:3" ht="13.5">
      <c r="A179" s="3" t="s">
        <v>211</v>
      </c>
      <c r="B179" s="105">
        <v>4800</v>
      </c>
      <c r="C179" s="111">
        <v>46016</v>
      </c>
    </row>
    <row r="180" spans="1:3" ht="13.5">
      <c r="A180" s="3" t="s">
        <v>212</v>
      </c>
      <c r="B180" s="105">
        <v>4670</v>
      </c>
      <c r="C180" s="111">
        <v>45991</v>
      </c>
    </row>
    <row r="181" spans="1:3" ht="13.5">
      <c r="A181" s="3" t="s">
        <v>213</v>
      </c>
      <c r="B181" s="105">
        <v>3900</v>
      </c>
      <c r="C181" s="111">
        <v>46049</v>
      </c>
    </row>
    <row r="182" spans="1:3" ht="13.5">
      <c r="A182" s="3" t="s">
        <v>214</v>
      </c>
      <c r="B182" s="105">
        <v>3540</v>
      </c>
      <c r="C182" s="111">
        <v>46045</v>
      </c>
    </row>
    <row r="183" spans="1:3" ht="13.5">
      <c r="A183" s="3" t="s">
        <v>215</v>
      </c>
      <c r="B183" s="105">
        <v>3470</v>
      </c>
      <c r="C183" s="111">
        <v>46022</v>
      </c>
    </row>
    <row r="184" spans="1:3" ht="13.5">
      <c r="A184" s="3" t="s">
        <v>216</v>
      </c>
      <c r="B184" s="105">
        <v>3420</v>
      </c>
      <c r="C184" s="111">
        <v>46019</v>
      </c>
    </row>
    <row r="185" spans="1:3" ht="13.5">
      <c r="A185" s="3" t="s">
        <v>217</v>
      </c>
      <c r="B185" s="105">
        <v>3400</v>
      </c>
      <c r="C185" s="111">
        <v>46032</v>
      </c>
    </row>
    <row r="186" spans="1:3" ht="13.5">
      <c r="A186" s="3" t="s">
        <v>218</v>
      </c>
      <c r="B186" s="105">
        <v>3160</v>
      </c>
      <c r="C186" s="111">
        <v>45973</v>
      </c>
    </row>
    <row r="187" spans="1:3" ht="13.5">
      <c r="A187" s="3" t="s">
        <v>219</v>
      </c>
      <c r="B187" s="105">
        <v>3150</v>
      </c>
      <c r="C187" s="111">
        <v>46002</v>
      </c>
    </row>
    <row r="188" spans="1:3" ht="13.5">
      <c r="A188" s="3" t="s">
        <v>220</v>
      </c>
      <c r="B188" s="105">
        <v>3100</v>
      </c>
      <c r="C188" s="111">
        <v>45993</v>
      </c>
    </row>
    <row r="189" spans="1:3" ht="13.5">
      <c r="A189" s="3" t="s">
        <v>221</v>
      </c>
      <c r="B189" s="105">
        <v>3000</v>
      </c>
      <c r="C189" s="111">
        <v>45979</v>
      </c>
    </row>
    <row r="190" spans="1:3" ht="13.5">
      <c r="A190" s="3" t="s">
        <v>222</v>
      </c>
      <c r="B190" s="105">
        <v>2900</v>
      </c>
      <c r="C190" s="111">
        <v>45993</v>
      </c>
    </row>
    <row r="191" spans="1:3" ht="13.5">
      <c r="A191" s="3" t="s">
        <v>223</v>
      </c>
      <c r="B191" s="105">
        <v>2870</v>
      </c>
      <c r="C191" s="111">
        <v>45997</v>
      </c>
    </row>
    <row r="192" spans="1:3" ht="13.5">
      <c r="A192" s="3" t="s">
        <v>224</v>
      </c>
      <c r="B192" s="105">
        <v>2860</v>
      </c>
      <c r="C192" s="111">
        <v>45987</v>
      </c>
    </row>
    <row r="193" spans="1:3" ht="13.5">
      <c r="A193" s="3" t="s">
        <v>225</v>
      </c>
      <c r="B193" s="105">
        <v>2760</v>
      </c>
      <c r="C193" s="111">
        <v>45986</v>
      </c>
    </row>
    <row r="194" spans="1:3" ht="13.5">
      <c r="A194" s="3" t="s">
        <v>226</v>
      </c>
      <c r="B194" s="105">
        <v>2660</v>
      </c>
      <c r="C194" s="111">
        <v>46049</v>
      </c>
    </row>
    <row r="195" spans="1:3" ht="13.5">
      <c r="A195" s="3" t="s">
        <v>227</v>
      </c>
      <c r="B195" s="105">
        <v>2620</v>
      </c>
      <c r="C195" s="111">
        <v>46015</v>
      </c>
    </row>
    <row r="196" spans="1:3" ht="13.5">
      <c r="A196" s="3" t="s">
        <v>228</v>
      </c>
      <c r="B196" s="105">
        <v>2570</v>
      </c>
      <c r="C196" s="111">
        <v>46019</v>
      </c>
    </row>
    <row r="197" spans="1:3" ht="13.5">
      <c r="A197" s="3" t="s">
        <v>229</v>
      </c>
      <c r="B197" s="105">
        <v>2380</v>
      </c>
      <c r="C197" s="111">
        <v>45974</v>
      </c>
    </row>
    <row r="198" spans="1:3" ht="13.5">
      <c r="A198" s="3" t="s">
        <v>230</v>
      </c>
      <c r="B198" s="105">
        <v>2120</v>
      </c>
      <c r="C198" s="111">
        <v>46005</v>
      </c>
    </row>
    <row r="199" spans="1:3" ht="13.5">
      <c r="A199" s="3" t="s">
        <v>231</v>
      </c>
      <c r="B199" s="105">
        <v>1820</v>
      </c>
      <c r="C199" s="111">
        <v>45991</v>
      </c>
    </row>
    <row r="200" spans="1:3" ht="13.5">
      <c r="A200" s="3" t="s">
        <v>232</v>
      </c>
      <c r="B200" s="105">
        <v>1760</v>
      </c>
      <c r="C200" s="111">
        <v>46053</v>
      </c>
    </row>
    <row r="201" spans="1:3" ht="13.5">
      <c r="A201" s="3" t="s">
        <v>233</v>
      </c>
      <c r="B201" s="105">
        <v>1690</v>
      </c>
      <c r="C201" s="111">
        <v>46031</v>
      </c>
    </row>
    <row r="202" spans="1:3" ht="13.5">
      <c r="A202" s="3" t="s">
        <v>234</v>
      </c>
      <c r="B202" s="105">
        <v>600</v>
      </c>
      <c r="C202" s="111">
        <v>46047</v>
      </c>
    </row>
    <row r="203" spans="1:3" ht="13.5">
      <c r="A203" s="3" t="s">
        <v>235</v>
      </c>
      <c r="B203" s="105">
        <v>20</v>
      </c>
      <c r="C203" s="111">
        <v>46043</v>
      </c>
    </row>
    <row r="204" spans="1:3" ht="13.5">
      <c r="A204" s="3" t="s">
        <v>236</v>
      </c>
      <c r="B204" s="105"/>
      <c r="C204" s="111"/>
    </row>
    <row r="205" spans="1:3" ht="13.5">
      <c r="A205" s="4" t="s">
        <v>13</v>
      </c>
      <c r="B205" s="6">
        <v>27315070</v>
      </c>
      <c r="C205" s="112">
        <v>46053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C153-0556-47D4-80A3-636A803CF62A}">
  <dimension ref="B1:N25"/>
  <sheetViews>
    <sheetView showGridLines="0" workbookViewId="0">
      <selection activeCell="E40" sqref="E40"/>
    </sheetView>
  </sheetViews>
  <sheetFormatPr defaultRowHeight="12.75"/>
  <cols>
    <col min="1" max="1" width="20.5703125" customWidth="1"/>
    <col min="2" max="2" width="25.7109375" customWidth="1"/>
    <col min="3" max="3" width="25.85546875" customWidth="1"/>
    <col min="4" max="4" width="31.5703125" customWidth="1"/>
    <col min="5" max="96" width="6.85546875" bestFit="1" customWidth="1"/>
    <col min="97" max="163" width="5.85546875" bestFit="1" customWidth="1"/>
    <col min="164" max="197" width="4.85546875" bestFit="1" customWidth="1"/>
    <col min="198" max="198" width="3.85546875" bestFit="1" customWidth="1"/>
    <col min="199" max="199" width="2.85546875" bestFit="1" customWidth="1"/>
    <col min="200" max="200" width="1.85546875" bestFit="1" customWidth="1"/>
  </cols>
  <sheetData>
    <row r="1" spans="2:14" s="126" customFormat="1"/>
    <row r="4" spans="2:14" ht="12.75" customHeight="1">
      <c r="B4" s="124" t="s">
        <v>34</v>
      </c>
      <c r="C4" s="2" t="s">
        <v>0</v>
      </c>
      <c r="D4" s="125" t="s">
        <v>21</v>
      </c>
    </row>
    <row r="5" spans="2:14" ht="12.75" customHeight="1">
      <c r="B5" s="1" t="s">
        <v>36</v>
      </c>
      <c r="C5" s="1" t="s">
        <v>5</v>
      </c>
      <c r="D5" s="122">
        <v>787000</v>
      </c>
    </row>
    <row r="6" spans="2:14" ht="12.75" customHeight="1">
      <c r="B6" s="1" t="s">
        <v>37</v>
      </c>
      <c r="C6" s="1" t="s">
        <v>7</v>
      </c>
      <c r="D6" s="122">
        <v>558390</v>
      </c>
      <c r="N6" t="s">
        <v>237</v>
      </c>
    </row>
    <row r="7" spans="2:14" ht="12.75" customHeight="1">
      <c r="B7" s="1" t="s">
        <v>38</v>
      </c>
      <c r="C7" s="1" t="s">
        <v>9</v>
      </c>
      <c r="D7" s="122">
        <v>535300</v>
      </c>
    </row>
    <row r="8" spans="2:14" ht="12.75" customHeight="1">
      <c r="B8" s="1" t="s">
        <v>39</v>
      </c>
      <c r="C8" s="1" t="s">
        <v>4</v>
      </c>
      <c r="D8" s="122">
        <v>506150</v>
      </c>
    </row>
    <row r="9" spans="2:14" ht="12.75" customHeight="1">
      <c r="B9" s="1" t="s">
        <v>40</v>
      </c>
      <c r="C9" s="1" t="s">
        <v>8</v>
      </c>
      <c r="D9" s="122">
        <v>466570</v>
      </c>
    </row>
    <row r="10" spans="2:14" ht="12.75" customHeight="1">
      <c r="B10" s="1" t="s">
        <v>41</v>
      </c>
      <c r="C10" s="1" t="s">
        <v>5</v>
      </c>
      <c r="D10" s="122">
        <v>466180</v>
      </c>
    </row>
    <row r="11" spans="2:14" ht="12.75" customHeight="1">
      <c r="B11" s="1" t="s">
        <v>42</v>
      </c>
      <c r="C11" s="1" t="s">
        <v>4</v>
      </c>
      <c r="D11" s="122">
        <v>455090</v>
      </c>
    </row>
    <row r="12" spans="2:14" ht="12.75" customHeight="1">
      <c r="B12" s="1" t="s">
        <v>43</v>
      </c>
      <c r="C12" s="1" t="s">
        <v>11</v>
      </c>
      <c r="D12" s="122">
        <v>428370</v>
      </c>
    </row>
    <row r="13" spans="2:14" ht="12.75" customHeight="1">
      <c r="B13" s="1" t="s">
        <v>44</v>
      </c>
      <c r="C13" s="1" t="s">
        <v>12</v>
      </c>
      <c r="D13" s="122">
        <v>425630</v>
      </c>
    </row>
    <row r="14" spans="2:14" ht="12.75" customHeight="1">
      <c r="B14" s="1" t="s">
        <v>45</v>
      </c>
      <c r="C14" s="1" t="s">
        <v>8</v>
      </c>
      <c r="D14" s="122">
        <v>425280</v>
      </c>
    </row>
    <row r="15" spans="2:14" ht="12.75" customHeight="1">
      <c r="B15" s="1" t="s">
        <v>46</v>
      </c>
      <c r="C15" s="1" t="s">
        <v>9</v>
      </c>
      <c r="D15" s="122">
        <v>407940</v>
      </c>
    </row>
    <row r="16" spans="2:14" ht="12.75" customHeight="1">
      <c r="B16" s="1" t="s">
        <v>47</v>
      </c>
      <c r="C16" s="1" t="s">
        <v>7</v>
      </c>
      <c r="D16" s="122">
        <v>392700</v>
      </c>
    </row>
    <row r="17" spans="2:4" ht="12.75" customHeight="1">
      <c r="B17" s="1" t="s">
        <v>48</v>
      </c>
      <c r="C17" s="1" t="s">
        <v>4</v>
      </c>
      <c r="D17" s="122">
        <v>391570</v>
      </c>
    </row>
    <row r="18" spans="2:4" ht="12.75" customHeight="1">
      <c r="B18" s="1" t="s">
        <v>49</v>
      </c>
      <c r="C18" s="1" t="s">
        <v>4</v>
      </c>
      <c r="D18" s="122">
        <v>384680</v>
      </c>
    </row>
    <row r="19" spans="2:4" ht="12.75" customHeight="1">
      <c r="B19" s="1" t="s">
        <v>50</v>
      </c>
      <c r="C19" s="1" t="s">
        <v>9</v>
      </c>
      <c r="D19" s="122">
        <v>367610</v>
      </c>
    </row>
    <row r="20" spans="2:4" ht="12.75" customHeight="1">
      <c r="B20" s="1" t="s">
        <v>51</v>
      </c>
      <c r="C20" s="1" t="s">
        <v>5</v>
      </c>
      <c r="D20" s="122">
        <v>360860</v>
      </c>
    </row>
    <row r="21" spans="2:4" ht="12.75" customHeight="1">
      <c r="B21" s="1" t="s">
        <v>52</v>
      </c>
      <c r="C21" s="1" t="s">
        <v>7</v>
      </c>
      <c r="D21" s="122">
        <v>358560</v>
      </c>
    </row>
    <row r="22" spans="2:4" ht="12.75" customHeight="1">
      <c r="B22" s="1" t="s">
        <v>53</v>
      </c>
      <c r="C22" s="1" t="s">
        <v>8</v>
      </c>
      <c r="D22" s="122">
        <v>350740</v>
      </c>
    </row>
    <row r="23" spans="2:4" ht="12.75" customHeight="1">
      <c r="B23" s="1" t="s">
        <v>54</v>
      </c>
      <c r="C23" s="1" t="s">
        <v>4</v>
      </c>
      <c r="D23" s="122">
        <v>349320</v>
      </c>
    </row>
    <row r="24" spans="2:4" ht="12.75" customHeight="1">
      <c r="B24" s="1" t="s">
        <v>55</v>
      </c>
      <c r="C24" s="1" t="s">
        <v>6</v>
      </c>
      <c r="D24" s="122">
        <v>341800</v>
      </c>
    </row>
    <row r="25" spans="2:4" ht="12.75" customHeight="1">
      <c r="B25" s="4" t="s">
        <v>13</v>
      </c>
      <c r="C25" s="123"/>
      <c r="D25" s="121">
        <v>8759740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DC55-9E72-4DD5-B65E-658B52E58194}">
  <dimension ref="A1:BX103"/>
  <sheetViews>
    <sheetView showGridLines="0" topLeftCell="A8" zoomScale="78" zoomScaleNormal="78" workbookViewId="0">
      <selection activeCell="AJ15" sqref="AJ15"/>
    </sheetView>
  </sheetViews>
  <sheetFormatPr defaultRowHeight="30"/>
  <cols>
    <col min="1" max="1" width="32.7109375" customWidth="1"/>
    <col min="2" max="2" width="32.7109375" style="14" customWidth="1"/>
    <col min="3" max="3" width="32.7109375" style="8" customWidth="1"/>
    <col min="4" max="4" width="32.7109375" style="13" customWidth="1"/>
    <col min="5" max="5" width="32.7109375" style="108" customWidth="1"/>
    <col min="8" max="8" width="27.42578125" customWidth="1"/>
    <col min="12" max="12" width="15.85546875" bestFit="1" customWidth="1"/>
    <col min="13" max="13" width="9.140625" style="7" bestFit="1" customWidth="1"/>
    <col min="14" max="14" width="13.28515625" bestFit="1" customWidth="1"/>
  </cols>
  <sheetData>
    <row r="1" spans="1:10" ht="12.75" customHeight="1">
      <c r="A1" s="138">
        <f>SUM(Table1[Total Sale])</f>
        <v>195858410</v>
      </c>
      <c r="B1" s="136">
        <f>SUM(Table1[Total Payment])</f>
        <v>168543340</v>
      </c>
      <c r="C1" s="134">
        <f>SUM(Table1[DUE])</f>
        <v>27315070</v>
      </c>
      <c r="D1" s="140">
        <f>COUNTIF(Table1[Credit Risk], "Critical")</f>
        <v>18</v>
      </c>
      <c r="E1" s="142">
        <f>SUM(Table1[Total Payment]) / SUM(Table1[Total Sale])</f>
        <v>0.8605366499197048</v>
      </c>
      <c r="G1" s="15"/>
      <c r="H1" s="133"/>
    </row>
    <row r="2" spans="1:10" ht="12.75" customHeight="1">
      <c r="A2" s="139"/>
      <c r="B2" s="137"/>
      <c r="C2" s="135"/>
      <c r="D2" s="141"/>
      <c r="E2" s="143"/>
      <c r="G2" s="15"/>
      <c r="H2" s="133"/>
    </row>
    <row r="3" spans="1:10" ht="34.5">
      <c r="A3" s="130" t="s">
        <v>238</v>
      </c>
      <c r="B3" s="129" t="s">
        <v>239</v>
      </c>
      <c r="C3" s="128" t="s">
        <v>240</v>
      </c>
      <c r="D3" s="131" t="s">
        <v>22</v>
      </c>
      <c r="E3" s="127" t="s">
        <v>241</v>
      </c>
      <c r="H3" s="36"/>
      <c r="J3" s="15"/>
    </row>
    <row r="4" spans="1:10">
      <c r="D4" s="35"/>
      <c r="H4" s="108"/>
    </row>
    <row r="5" spans="1:10">
      <c r="H5" s="108"/>
    </row>
    <row r="6" spans="1:10">
      <c r="H6" s="108"/>
    </row>
    <row r="7" spans="1:10">
      <c r="H7" s="108"/>
    </row>
    <row r="8" spans="1:10">
      <c r="H8" s="108"/>
    </row>
    <row r="9" spans="1:10">
      <c r="H9" s="108"/>
    </row>
    <row r="10" spans="1:10">
      <c r="H10" s="108"/>
    </row>
    <row r="11" spans="1:10">
      <c r="H11" s="108"/>
    </row>
    <row r="12" spans="1:10">
      <c r="H12" s="108"/>
    </row>
    <row r="13" spans="1:10">
      <c r="H13" s="108"/>
    </row>
    <row r="14" spans="1:10">
      <c r="H14" s="108"/>
    </row>
    <row r="15" spans="1:10">
      <c r="H15" s="108"/>
    </row>
    <row r="16" spans="1:10">
      <c r="H16" s="108"/>
    </row>
    <row r="17" spans="5:8">
      <c r="H17" s="108"/>
    </row>
    <row r="18" spans="5:8">
      <c r="H18" s="108"/>
    </row>
    <row r="19" spans="5:8">
      <c r="H19" s="108"/>
    </row>
    <row r="20" spans="5:8">
      <c r="H20" s="108"/>
    </row>
    <row r="21" spans="5:8">
      <c r="H21" s="108"/>
    </row>
    <row r="22" spans="5:8">
      <c r="H22" s="108"/>
    </row>
    <row r="23" spans="5:8">
      <c r="H23" s="108"/>
    </row>
    <row r="24" spans="5:8">
      <c r="H24" s="108"/>
    </row>
    <row r="25" spans="5:8">
      <c r="H25" s="108"/>
    </row>
    <row r="26" spans="5:8">
      <c r="H26" s="108"/>
    </row>
    <row r="27" spans="5:8">
      <c r="H27" s="108"/>
    </row>
    <row r="28" spans="5:8">
      <c r="H28" s="108"/>
    </row>
    <row r="29" spans="5:8" ht="36">
      <c r="E29" s="108" t="s">
        <v>10</v>
      </c>
      <c r="H29" s="108"/>
    </row>
    <row r="30" spans="5:8">
      <c r="H30" s="108"/>
    </row>
    <row r="31" spans="5:8">
      <c r="H31" s="108"/>
    </row>
    <row r="32" spans="5:8">
      <c r="H32" s="108"/>
    </row>
    <row r="33" spans="8:8">
      <c r="H33" s="108"/>
    </row>
    <row r="34" spans="8:8">
      <c r="H34" s="108"/>
    </row>
    <row r="35" spans="8:8">
      <c r="H35" s="108"/>
    </row>
    <row r="36" spans="8:8">
      <c r="H36" s="108"/>
    </row>
    <row r="37" spans="8:8">
      <c r="H37" s="108"/>
    </row>
    <row r="38" spans="8:8">
      <c r="H38" s="108"/>
    </row>
    <row r="39" spans="8:8">
      <c r="H39" s="108"/>
    </row>
    <row r="40" spans="8:8">
      <c r="H40" s="108"/>
    </row>
    <row r="41" spans="8:8">
      <c r="H41" s="108"/>
    </row>
    <row r="42" spans="8:8">
      <c r="H42" s="108"/>
    </row>
    <row r="43" spans="8:8">
      <c r="H43" s="108"/>
    </row>
    <row r="44" spans="8:8">
      <c r="H44" s="108"/>
    </row>
    <row r="45" spans="8:8">
      <c r="H45" s="108"/>
    </row>
    <row r="46" spans="8:8">
      <c r="H46" s="108"/>
    </row>
    <row r="47" spans="8:8">
      <c r="H47" s="108"/>
    </row>
    <row r="48" spans="8:8">
      <c r="H48" s="108"/>
    </row>
    <row r="49" spans="8:8">
      <c r="H49" s="108"/>
    </row>
    <row r="50" spans="8:8">
      <c r="H50" s="108"/>
    </row>
    <row r="51" spans="8:8">
      <c r="H51" s="108"/>
    </row>
    <row r="52" spans="8:8">
      <c r="H52" s="108"/>
    </row>
    <row r="53" spans="8:8">
      <c r="H53" s="108"/>
    </row>
    <row r="54" spans="8:8">
      <c r="H54" s="108"/>
    </row>
    <row r="55" spans="8:8">
      <c r="H55" s="108"/>
    </row>
    <row r="56" spans="8:8">
      <c r="H56" s="108"/>
    </row>
    <row r="57" spans="8:8">
      <c r="H57" s="108"/>
    </row>
    <row r="58" spans="8:8">
      <c r="H58" s="108"/>
    </row>
    <row r="59" spans="8:8">
      <c r="H59" s="108"/>
    </row>
    <row r="60" spans="8:8">
      <c r="H60" s="108"/>
    </row>
    <row r="61" spans="8:8">
      <c r="H61" s="108"/>
    </row>
    <row r="62" spans="8:8">
      <c r="H62" s="108"/>
    </row>
    <row r="63" spans="8:8">
      <c r="H63" s="108"/>
    </row>
    <row r="64" spans="8:8">
      <c r="H64" s="108"/>
    </row>
    <row r="65" spans="8:8">
      <c r="H65" s="108"/>
    </row>
    <row r="66" spans="8:8">
      <c r="H66" s="108"/>
    </row>
    <row r="67" spans="8:8">
      <c r="H67" s="108"/>
    </row>
    <row r="68" spans="8:8">
      <c r="H68" s="108"/>
    </row>
    <row r="69" spans="8:8">
      <c r="H69" s="108"/>
    </row>
    <row r="70" spans="8:8">
      <c r="H70" s="108"/>
    </row>
    <row r="71" spans="8:8">
      <c r="H71" s="108"/>
    </row>
    <row r="72" spans="8:8">
      <c r="H72" s="108"/>
    </row>
    <row r="73" spans="8:8">
      <c r="H73" s="108"/>
    </row>
    <row r="74" spans="8:8">
      <c r="H74" s="108"/>
    </row>
    <row r="75" spans="8:8">
      <c r="H75" s="108"/>
    </row>
    <row r="76" spans="8:8">
      <c r="H76" s="108"/>
    </row>
    <row r="77" spans="8:8">
      <c r="H77" s="108"/>
    </row>
    <row r="78" spans="8:8">
      <c r="H78" s="108"/>
    </row>
    <row r="79" spans="8:8">
      <c r="H79" s="108"/>
    </row>
    <row r="80" spans="8:8">
      <c r="H80" s="108"/>
    </row>
    <row r="81" spans="8:76">
      <c r="H81" s="108"/>
    </row>
    <row r="82" spans="8:76">
      <c r="H82" s="108"/>
    </row>
    <row r="83" spans="8:76">
      <c r="H83" s="108"/>
    </row>
    <row r="84" spans="8:76">
      <c r="H84" s="108"/>
    </row>
    <row r="85" spans="8:76">
      <c r="H85" s="108"/>
    </row>
    <row r="86" spans="8:76">
      <c r="H86" s="108"/>
    </row>
    <row r="87" spans="8:76">
      <c r="H87" s="108"/>
    </row>
    <row r="88" spans="8:76">
      <c r="H88" s="108"/>
    </row>
    <row r="89" spans="8:76">
      <c r="H89" s="108"/>
    </row>
    <row r="90" spans="8:76">
      <c r="H90" s="108"/>
    </row>
    <row r="91" spans="8:76">
      <c r="H91" s="108"/>
    </row>
    <row r="92" spans="8:76">
      <c r="H92" s="108"/>
    </row>
    <row r="93" spans="8:76">
      <c r="H93" s="108"/>
    </row>
    <row r="94" spans="8:76">
      <c r="H94" s="108"/>
    </row>
    <row r="95" spans="8:76">
      <c r="H95" s="108"/>
    </row>
    <row r="96" spans="8:76" ht="41.25">
      <c r="H96" s="108"/>
      <c r="BV96" s="2" t="s">
        <v>14</v>
      </c>
      <c r="BW96" s="5" t="s">
        <v>21</v>
      </c>
      <c r="BX96" s="41" t="s">
        <v>242</v>
      </c>
    </row>
    <row r="97" spans="8:76">
      <c r="H97" s="108"/>
      <c r="BV97" s="1" t="s">
        <v>17</v>
      </c>
      <c r="BW97" s="5">
        <v>2505210</v>
      </c>
      <c r="BX97" s="42">
        <v>17</v>
      </c>
    </row>
    <row r="98" spans="8:76">
      <c r="H98" s="108"/>
      <c r="BV98" s="4" t="s">
        <v>13</v>
      </c>
      <c r="BW98" s="6">
        <v>2505210</v>
      </c>
      <c r="BX98" s="43">
        <v>17</v>
      </c>
    </row>
    <row r="99" spans="8:76">
      <c r="H99" s="108"/>
    </row>
    <row r="100" spans="8:76">
      <c r="H100" s="108"/>
    </row>
    <row r="101" spans="8:76">
      <c r="H101" s="108"/>
      <c r="BW101" s="7"/>
    </row>
    <row r="102" spans="8:76">
      <c r="H102" s="108"/>
      <c r="BW102" s="7"/>
    </row>
    <row r="103" spans="8:76">
      <c r="H103" s="108"/>
      <c r="BU103" s="15"/>
      <c r="BV103" s="15"/>
      <c r="BW103" s="7"/>
    </row>
  </sheetData>
  <mergeCells count="6">
    <mergeCell ref="H1:H2"/>
    <mergeCell ref="C1:C2"/>
    <mergeCell ref="B1:B2"/>
    <mergeCell ref="A1:A2"/>
    <mergeCell ref="D1:D2"/>
    <mergeCell ref="E1:E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6"/>
  <sheetViews>
    <sheetView topLeftCell="D1" workbookViewId="0">
      <selection activeCell="O190" sqref="O190"/>
    </sheetView>
  </sheetViews>
  <sheetFormatPr defaultColWidth="8.28515625" defaultRowHeight="19.899999999999999" customHeight="1"/>
  <cols>
    <col min="1" max="1" width="28.7109375" style="20" customWidth="1"/>
    <col min="2" max="2" width="25.42578125" style="20" customWidth="1"/>
    <col min="3" max="3" width="23.140625" style="20" customWidth="1"/>
    <col min="4" max="4" width="18" style="51" customWidth="1"/>
    <col min="5" max="5" width="14.140625" style="20" customWidth="1"/>
    <col min="6" max="6" width="16.28515625" style="31" customWidth="1"/>
    <col min="7" max="7" width="17.5703125" style="51" customWidth="1"/>
    <col min="8" max="8" width="17.28515625" style="51" bestFit="1" customWidth="1"/>
    <col min="9" max="9" width="19.42578125" style="31" bestFit="1" customWidth="1"/>
    <col min="10" max="10" width="17" style="51" customWidth="1"/>
    <col min="11" max="11" width="17" style="20" bestFit="1" customWidth="1"/>
    <col min="12" max="12" width="19.28515625" style="20" bestFit="1" customWidth="1"/>
    <col min="13" max="13" width="15.85546875" style="20" bestFit="1" customWidth="1"/>
    <col min="14" max="14" width="19.5703125" style="20" customWidth="1"/>
    <col min="15" max="15" width="13.7109375" style="117" customWidth="1"/>
    <col min="16" max="16" width="16.140625" style="20" bestFit="1" customWidth="1"/>
    <col min="17" max="17" width="19" style="132" customWidth="1"/>
    <col min="18" max="16384" width="8.28515625" style="20"/>
  </cols>
  <sheetData>
    <row r="1" spans="1:17" s="37" customFormat="1" ht="13.5">
      <c r="A1" s="16" t="s">
        <v>34</v>
      </c>
      <c r="B1" s="16" t="s">
        <v>243</v>
      </c>
      <c r="C1" s="16" t="s">
        <v>0</v>
      </c>
      <c r="D1" s="52" t="s">
        <v>244</v>
      </c>
      <c r="E1" s="47" t="s">
        <v>27</v>
      </c>
      <c r="F1" s="24" t="s">
        <v>245</v>
      </c>
      <c r="G1" s="48" t="s">
        <v>246</v>
      </c>
      <c r="H1" s="48" t="s">
        <v>247</v>
      </c>
      <c r="I1" s="26" t="s">
        <v>248</v>
      </c>
      <c r="J1" s="52" t="s">
        <v>249</v>
      </c>
      <c r="K1" s="16" t="s">
        <v>250</v>
      </c>
      <c r="L1" s="25" t="s">
        <v>251</v>
      </c>
      <c r="M1" s="32" t="s">
        <v>252</v>
      </c>
      <c r="N1" s="32" t="s">
        <v>19</v>
      </c>
      <c r="O1" s="114" t="s">
        <v>253</v>
      </c>
      <c r="P1" s="33" t="s">
        <v>14</v>
      </c>
    </row>
    <row r="2" spans="1:17" ht="20.100000000000001" customHeight="1">
      <c r="A2" s="39" t="s">
        <v>185</v>
      </c>
      <c r="B2" s="18" t="s">
        <v>254</v>
      </c>
      <c r="C2" s="22" t="s">
        <v>7</v>
      </c>
      <c r="D2" s="49">
        <v>67000</v>
      </c>
      <c r="E2" s="21" t="str">
        <f ca="1">TEXT(Table1[[#This Row],[Last Sale Date]],"MMM")</f>
        <v>Jan</v>
      </c>
      <c r="F2" s="27">
        <f ca="1">DATE(2025,11,10) + RANDBETWEEN(0,81)</f>
        <v>46040</v>
      </c>
      <c r="G2" s="49">
        <v>50000</v>
      </c>
      <c r="H2" s="53" t="str">
        <f>TEXT(Table1[[#This Row],[Last Payment Date]],"MMM")</f>
        <v>Dec</v>
      </c>
      <c r="I2" s="28">
        <v>45995</v>
      </c>
      <c r="J2" s="107">
        <f>D2-G2</f>
        <v>17000</v>
      </c>
      <c r="K2" s="21">
        <v>2</v>
      </c>
      <c r="L2" s="21">
        <v>1</v>
      </c>
      <c r="M2" s="34" t="str">
        <f>IF(J2&gt;3000,"Pending","Settled")</f>
        <v>Pending</v>
      </c>
      <c r="N2" s="34" t="str">
        <f>IF(J2&gt;350000,"Critical",
   IF(J2&gt;200000,"Very High",
      IF(J2&gt;100000,"High",
         IF(J2&gt;30000,"Medium","Low"))))</f>
        <v>Low</v>
      </c>
      <c r="O2" s="115">
        <f>DATE(2026,1,30) - Table1[[#This Row],[Last Payment Date]]</f>
        <v>57</v>
      </c>
      <c r="P2" s="23" t="str">
        <f>IF(Table1[[#This Row],[Days Since Last Collection]]&lt;=45,"Active", IF(Table1[[#This Row],[Days Since Last Collection]]&lt;=75,"Moderate","Inactive"))</f>
        <v>Moderate</v>
      </c>
      <c r="Q2" s="20"/>
    </row>
    <row r="3" spans="1:17" ht="20.100000000000001" customHeight="1">
      <c r="A3" s="39" t="s">
        <v>202</v>
      </c>
      <c r="B3" s="18" t="s">
        <v>255</v>
      </c>
      <c r="C3" s="22" t="s">
        <v>6</v>
      </c>
      <c r="D3" s="49">
        <v>12400</v>
      </c>
      <c r="E3" s="21" t="str">
        <f ca="1">TEXT(Table1[[#This Row],[Last Sale Date]],"MMM")</f>
        <v>Dec</v>
      </c>
      <c r="F3" s="27">
        <f ca="1">DATE(2025,11,10) + RANDBETWEEN(0,81)</f>
        <v>46019</v>
      </c>
      <c r="G3" s="49">
        <v>4100</v>
      </c>
      <c r="H3" s="53" t="str">
        <f>TEXT(Table1[[#This Row],[Last Payment Date]],"MMM")</f>
        <v>Jan</v>
      </c>
      <c r="I3" s="28">
        <v>46051</v>
      </c>
      <c r="J3" s="107">
        <f>D3-G3</f>
        <v>8300</v>
      </c>
      <c r="K3" s="21">
        <v>1</v>
      </c>
      <c r="L3" s="21">
        <v>1</v>
      </c>
      <c r="M3" s="34" t="str">
        <f>IF(J3&gt;3000,"Pending","Settled")</f>
        <v>Pending</v>
      </c>
      <c r="N3" s="34" t="str">
        <f>IF(J3&gt;350000,"Critical",
   IF(J3&gt;200000,"Very High",
      IF(J3&gt;100000,"High",
         IF(J3&gt;30000,"Medium","Low"))))</f>
        <v>Low</v>
      </c>
      <c r="O3" s="115">
        <f>DATE(2026,1,30) - Table1[[#This Row],[Last Payment Date]]</f>
        <v>1</v>
      </c>
      <c r="P3" s="23" t="str">
        <f>IF(Table1[[#This Row],[Days Since Last Collection]]&lt;=45,"Active", IF(Table1[[#This Row],[Days Since Last Collection]]&lt;=75,"Moderate","Inactive"))</f>
        <v>Active</v>
      </c>
      <c r="Q3" s="20"/>
    </row>
    <row r="4" spans="1:17" ht="20.100000000000001" customHeight="1">
      <c r="A4" s="39" t="s">
        <v>219</v>
      </c>
      <c r="B4" s="18" t="s">
        <v>256</v>
      </c>
      <c r="C4" s="22" t="s">
        <v>5</v>
      </c>
      <c r="D4" s="49">
        <v>24470</v>
      </c>
      <c r="E4" s="21" t="str">
        <f ca="1">TEXT(Table1[[#This Row],[Last Sale Date]],"MMM")</f>
        <v>Jan</v>
      </c>
      <c r="F4" s="27">
        <f ca="1">DATE(2025,11,10) + RANDBETWEEN(0,81)</f>
        <v>46050</v>
      </c>
      <c r="G4" s="49">
        <v>21320</v>
      </c>
      <c r="H4" s="53" t="str">
        <f>TEXT(Table1[[#This Row],[Last Payment Date]],"MMM")</f>
        <v>Dec</v>
      </c>
      <c r="I4" s="28">
        <v>46002</v>
      </c>
      <c r="J4" s="107">
        <f>D4-G4</f>
        <v>3150</v>
      </c>
      <c r="K4" s="21">
        <v>3</v>
      </c>
      <c r="L4" s="21">
        <v>3</v>
      </c>
      <c r="M4" s="34" t="str">
        <f>IF(J4&gt;3000,"Pending","Settled")</f>
        <v>Pending</v>
      </c>
      <c r="N4" s="34" t="str">
        <f>IF(J4&gt;350000,"Critical",
   IF(J4&gt;200000,"Very High",
      IF(J4&gt;100000,"High",
         IF(J4&gt;30000,"Medium","Low"))))</f>
        <v>Low</v>
      </c>
      <c r="O4" s="115">
        <f>DATE(2026,1,30) - Table1[[#This Row],[Last Payment Date]]</f>
        <v>50</v>
      </c>
      <c r="P4" s="23" t="str">
        <f>IF(Table1[[#This Row],[Days Since Last Collection]]&lt;=45,"Active", IF(Table1[[#This Row],[Days Since Last Collection]]&lt;=75,"Moderate","Inactive"))</f>
        <v>Moderate</v>
      </c>
      <c r="Q4" s="20"/>
    </row>
    <row r="5" spans="1:17" ht="20.100000000000001" customHeight="1">
      <c r="A5" s="38" t="s">
        <v>201</v>
      </c>
      <c r="B5" s="17" t="s">
        <v>257</v>
      </c>
      <c r="C5" s="21" t="s">
        <v>12</v>
      </c>
      <c r="D5" s="49">
        <v>12500</v>
      </c>
      <c r="E5" s="21" t="str">
        <f ca="1">TEXT(Table1[[#This Row],[Last Sale Date]],"MMM")</f>
        <v>Dec</v>
      </c>
      <c r="F5" s="27">
        <f ca="1">DATE(2025,11,10) + RANDBETWEEN(0,81)</f>
        <v>45992</v>
      </c>
      <c r="G5" s="49">
        <v>4000</v>
      </c>
      <c r="H5" s="53" t="str">
        <f>TEXT(Table1[[#This Row],[Last Payment Date]],"MMM")</f>
        <v>Jan</v>
      </c>
      <c r="I5" s="28">
        <v>46035</v>
      </c>
      <c r="J5" s="107">
        <f>D5-G5</f>
        <v>8500</v>
      </c>
      <c r="K5" s="21">
        <v>1</v>
      </c>
      <c r="L5" s="21">
        <v>1</v>
      </c>
      <c r="M5" s="34" t="str">
        <f>IF(J5&gt;3000,"Pending","Settled")</f>
        <v>Pending</v>
      </c>
      <c r="N5" s="34" t="str">
        <f>IF(J5&gt;350000,"Critical",
   IF(J5&gt;200000,"Very High",
      IF(J5&gt;100000,"High",
         IF(J5&gt;30000,"Medium","Low"))))</f>
        <v>Low</v>
      </c>
      <c r="O5" s="116">
        <f>DATE(2026,1,30) - Table1[[#This Row],[Last Payment Date]]</f>
        <v>17</v>
      </c>
      <c r="P5" s="34" t="str">
        <f>IF(Table1[[#This Row],[Days Since Last Collection]]&lt;=45,"Active", IF(Table1[[#This Row],[Days Since Last Collection]]&lt;=75,"Moderate","Inactive"))</f>
        <v>Active</v>
      </c>
      <c r="Q5" s="20"/>
    </row>
    <row r="6" spans="1:17" ht="20.100000000000001" customHeight="1">
      <c r="A6" s="39" t="s">
        <v>216</v>
      </c>
      <c r="B6" s="18" t="s">
        <v>258</v>
      </c>
      <c r="C6" s="22" t="s">
        <v>5</v>
      </c>
      <c r="D6" s="49">
        <v>19270</v>
      </c>
      <c r="E6" s="21" t="str">
        <f ca="1">TEXT(Table1[[#This Row],[Last Sale Date]],"MMM")</f>
        <v>Jan</v>
      </c>
      <c r="F6" s="27">
        <f ca="1">DATE(2025,11,10) + RANDBETWEEN(0,81)</f>
        <v>46046</v>
      </c>
      <c r="G6" s="49">
        <v>15850</v>
      </c>
      <c r="H6" s="53" t="str">
        <f>TEXT(Table1[[#This Row],[Last Payment Date]],"MMM")</f>
        <v>Dec</v>
      </c>
      <c r="I6" s="28">
        <v>46019</v>
      </c>
      <c r="J6" s="107">
        <f>D6-G6</f>
        <v>3420</v>
      </c>
      <c r="K6" s="21">
        <v>4</v>
      </c>
      <c r="L6" s="21">
        <v>2</v>
      </c>
      <c r="M6" s="34" t="str">
        <f>IF(J6&gt;3000,"Pending","Settled")</f>
        <v>Pending</v>
      </c>
      <c r="N6" s="34" t="str">
        <f>IF(J6&gt;350000,"Critical",
   IF(J6&gt;200000,"Very High",
      IF(J6&gt;100000,"High",
         IF(J6&gt;30000,"Medium","Low"))))</f>
        <v>Low</v>
      </c>
      <c r="O6" s="115">
        <f>DATE(2026,1,30) - Table1[[#This Row],[Last Payment Date]]</f>
        <v>33</v>
      </c>
      <c r="P6" s="23" t="str">
        <f>IF(Table1[[#This Row],[Days Since Last Collection]]&lt;=45,"Active", IF(Table1[[#This Row],[Days Since Last Collection]]&lt;=75,"Moderate","Inactive"))</f>
        <v>Active</v>
      </c>
      <c r="Q6" s="20"/>
    </row>
    <row r="7" spans="1:17" ht="20.100000000000001" customHeight="1">
      <c r="A7" s="39" t="s">
        <v>85</v>
      </c>
      <c r="B7" s="18" t="s">
        <v>259</v>
      </c>
      <c r="C7" s="22" t="s">
        <v>6</v>
      </c>
      <c r="D7" s="49">
        <v>243210</v>
      </c>
      <c r="E7" s="21" t="str">
        <f ca="1">TEXT(Table1[[#This Row],[Last Sale Date]],"MMM")</f>
        <v>Nov</v>
      </c>
      <c r="F7" s="27">
        <f ca="1">DATE(2025,11,10) + RANDBETWEEN(0,81)</f>
        <v>45979</v>
      </c>
      <c r="G7" s="49">
        <v>20230</v>
      </c>
      <c r="H7" s="53" t="str">
        <f>TEXT(Table1[[#This Row],[Last Payment Date]],"MMM")</f>
        <v>Dec</v>
      </c>
      <c r="I7" s="28">
        <v>46006</v>
      </c>
      <c r="J7" s="107">
        <f>D7-G7</f>
        <v>222980</v>
      </c>
      <c r="K7" s="21">
        <v>4</v>
      </c>
      <c r="L7" s="21">
        <v>2</v>
      </c>
      <c r="M7" s="34" t="str">
        <f>IF(J7&gt;3000,"Pending","Settled")</f>
        <v>Pending</v>
      </c>
      <c r="N7" s="34" t="str">
        <f>IF(J7&gt;350000,"Critical",
   IF(J7&gt;200000,"Very High",
      IF(J7&gt;100000,"High",
         IF(J7&gt;30000,"Medium","Low"))))</f>
        <v>Very High</v>
      </c>
      <c r="O7" s="115">
        <f>DATE(2026,1,30) - Table1[[#This Row],[Last Payment Date]]</f>
        <v>46</v>
      </c>
      <c r="P7" s="23" t="str">
        <f>IF(Table1[[#This Row],[Days Since Last Collection]]&lt;=45,"Active", IF(Table1[[#This Row],[Days Since Last Collection]]&lt;=75,"Moderate","Inactive"))</f>
        <v>Moderate</v>
      </c>
      <c r="Q7" s="20"/>
    </row>
    <row r="8" spans="1:17" ht="20.100000000000001" customHeight="1">
      <c r="A8" s="39" t="s">
        <v>104</v>
      </c>
      <c r="B8" s="18" t="s">
        <v>260</v>
      </c>
      <c r="C8" s="22" t="s">
        <v>7</v>
      </c>
      <c r="D8" s="49">
        <v>2150930</v>
      </c>
      <c r="E8" s="21" t="str">
        <f ca="1">TEXT(Table1[[#This Row],[Last Sale Date]],"MMM")</f>
        <v>Nov</v>
      </c>
      <c r="F8" s="27">
        <f ca="1">DATE(2025,11,10) + RANDBETWEEN(0,81)</f>
        <v>45989</v>
      </c>
      <c r="G8" s="49">
        <v>1990920</v>
      </c>
      <c r="H8" s="53" t="str">
        <f>TEXT(Table1[[#This Row],[Last Payment Date]],"MMM")</f>
        <v>Nov</v>
      </c>
      <c r="I8" s="28">
        <v>45976</v>
      </c>
      <c r="J8" s="107">
        <f>D8-G8</f>
        <v>160010</v>
      </c>
      <c r="K8" s="21">
        <v>3</v>
      </c>
      <c r="L8" s="21">
        <v>2</v>
      </c>
      <c r="M8" s="34" t="str">
        <f>IF(J8&gt;3000,"Pending","Settled")</f>
        <v>Pending</v>
      </c>
      <c r="N8" s="34" t="str">
        <f>IF(J8&gt;350000,"Critical",
   IF(J8&gt;200000,"Very High",
      IF(J8&gt;100000,"High",
         IF(J8&gt;30000,"Medium","Low"))))</f>
        <v>High</v>
      </c>
      <c r="O8" s="115">
        <f>DATE(2026,1,30) - Table1[[#This Row],[Last Payment Date]]</f>
        <v>76</v>
      </c>
      <c r="P8" s="23" t="str">
        <f>IF(Table1[[#This Row],[Days Since Last Collection]]&lt;=45,"Active", IF(Table1[[#This Row],[Days Since Last Collection]]&lt;=75,"Moderate","Inactive"))</f>
        <v>Inactive</v>
      </c>
      <c r="Q8" s="20"/>
    </row>
    <row r="9" spans="1:17" ht="20.100000000000001" customHeight="1">
      <c r="A9" s="39" t="s">
        <v>87</v>
      </c>
      <c r="B9" s="18" t="s">
        <v>261</v>
      </c>
      <c r="C9" s="22" t="s">
        <v>4</v>
      </c>
      <c r="D9" s="49">
        <v>1202430</v>
      </c>
      <c r="E9" s="21" t="str">
        <f ca="1">TEXT(Table1[[#This Row],[Last Sale Date]],"MMM")</f>
        <v>Jan</v>
      </c>
      <c r="F9" s="27">
        <f ca="1">DATE(2025,11,10) + RANDBETWEEN(0,81)</f>
        <v>46038</v>
      </c>
      <c r="G9" s="49">
        <v>983580</v>
      </c>
      <c r="H9" s="53" t="str">
        <f>TEXT(Table1[[#This Row],[Last Payment Date]],"MMM")</f>
        <v>Nov</v>
      </c>
      <c r="I9" s="28">
        <v>45988</v>
      </c>
      <c r="J9" s="107">
        <f>D9-G9</f>
        <v>218850</v>
      </c>
      <c r="K9" s="21">
        <v>4</v>
      </c>
      <c r="L9" s="21">
        <v>4</v>
      </c>
      <c r="M9" s="34" t="str">
        <f>IF(J9&gt;3000,"Pending","Settled")</f>
        <v>Pending</v>
      </c>
      <c r="N9" s="34" t="str">
        <f>IF(J9&gt;350000,"Critical",
   IF(J9&gt;200000,"Very High",
      IF(J9&gt;100000,"High",
         IF(J9&gt;30000,"Medium","Low"))))</f>
        <v>Very High</v>
      </c>
      <c r="O9" s="115">
        <f>DATE(2026,1,30) - Table1[[#This Row],[Last Payment Date]]</f>
        <v>64</v>
      </c>
      <c r="P9" s="23" t="str">
        <f>IF(Table1[[#This Row],[Days Since Last Collection]]&lt;=45,"Active", IF(Table1[[#This Row],[Days Since Last Collection]]&lt;=75,"Moderate","Inactive"))</f>
        <v>Moderate</v>
      </c>
      <c r="Q9" s="20"/>
    </row>
    <row r="10" spans="1:17" ht="20.100000000000001" customHeight="1">
      <c r="A10" s="39" t="s">
        <v>234</v>
      </c>
      <c r="B10" s="18" t="s">
        <v>262</v>
      </c>
      <c r="C10" s="22" t="s">
        <v>12</v>
      </c>
      <c r="D10" s="49">
        <v>22800</v>
      </c>
      <c r="E10" s="21" t="str">
        <f ca="1">TEXT(Table1[[#This Row],[Last Sale Date]],"MMM")</f>
        <v>Dec</v>
      </c>
      <c r="F10" s="27">
        <f ca="1">DATE(2025,11,10) + RANDBETWEEN(0,81)</f>
        <v>46008</v>
      </c>
      <c r="G10" s="49">
        <v>22200</v>
      </c>
      <c r="H10" s="53" t="str">
        <f>TEXT(Table1[[#This Row],[Last Payment Date]],"MMM")</f>
        <v>Jan</v>
      </c>
      <c r="I10" s="28">
        <v>46047</v>
      </c>
      <c r="J10" s="107">
        <f>D10-G10</f>
        <v>600</v>
      </c>
      <c r="K10" s="21">
        <v>1</v>
      </c>
      <c r="L10" s="21">
        <v>1</v>
      </c>
      <c r="M10" s="34" t="str">
        <f>IF(J10&gt;3000,"Pending","Settled")</f>
        <v>Settled</v>
      </c>
      <c r="N10" s="34" t="str">
        <f>IF(J10&gt;350000,"Critical",
   IF(J10&gt;200000,"Very High",
      IF(J10&gt;100000,"High",
         IF(J10&gt;30000,"Medium","Low"))))</f>
        <v>Low</v>
      </c>
      <c r="O10" s="115">
        <f>DATE(2026,1,30) - Table1[[#This Row],[Last Payment Date]]</f>
        <v>5</v>
      </c>
      <c r="P10" s="23" t="str">
        <f>IF(Table1[[#This Row],[Days Since Last Collection]]&lt;=45,"Active", IF(Table1[[#This Row],[Days Since Last Collection]]&lt;=75,"Moderate","Inactive"))</f>
        <v>Active</v>
      </c>
      <c r="Q10" s="20"/>
    </row>
    <row r="11" spans="1:17" ht="20.100000000000001" customHeight="1">
      <c r="A11" s="39" t="s">
        <v>168</v>
      </c>
      <c r="B11" s="18" t="s">
        <v>263</v>
      </c>
      <c r="C11" s="22" t="s">
        <v>6</v>
      </c>
      <c r="D11" s="49">
        <v>241190</v>
      </c>
      <c r="E11" s="21" t="str">
        <f ca="1">TEXT(Table1[[#This Row],[Last Sale Date]],"MMM")</f>
        <v>Jan</v>
      </c>
      <c r="F11" s="27">
        <f ca="1">DATE(2025,11,10) + RANDBETWEEN(0,81)</f>
        <v>46038</v>
      </c>
      <c r="G11" s="49">
        <v>208510</v>
      </c>
      <c r="H11" s="53" t="str">
        <f>TEXT(Table1[[#This Row],[Last Payment Date]],"MMM")</f>
        <v>Nov</v>
      </c>
      <c r="I11" s="28">
        <v>45977</v>
      </c>
      <c r="J11" s="107">
        <f>D11-G11</f>
        <v>32680</v>
      </c>
      <c r="K11" s="21">
        <v>1</v>
      </c>
      <c r="L11" s="21">
        <v>4</v>
      </c>
      <c r="M11" s="34" t="str">
        <f>IF(J11&gt;3000,"Pending","Settled")</f>
        <v>Pending</v>
      </c>
      <c r="N11" s="34" t="str">
        <f>IF(J11&gt;350000,"Critical",
   IF(J11&gt;200000,"Very High",
      IF(J11&gt;100000,"High",
         IF(J11&gt;30000,"Medium","Low"))))</f>
        <v>Medium</v>
      </c>
      <c r="O11" s="115">
        <f>DATE(2026,1,30) - Table1[[#This Row],[Last Payment Date]]</f>
        <v>75</v>
      </c>
      <c r="P11" s="23" t="str">
        <f>IF(Table1[[#This Row],[Days Since Last Collection]]&lt;=45,"Active", IF(Table1[[#This Row],[Days Since Last Collection]]&lt;=75,"Moderate","Inactive"))</f>
        <v>Moderate</v>
      </c>
      <c r="Q11" s="20"/>
    </row>
    <row r="12" spans="1:17" ht="20.100000000000001" customHeight="1">
      <c r="A12" s="39" t="s">
        <v>183</v>
      </c>
      <c r="B12" s="18" t="s">
        <v>264</v>
      </c>
      <c r="C12" s="22" t="s">
        <v>12</v>
      </c>
      <c r="D12" s="49">
        <v>118000</v>
      </c>
      <c r="E12" s="21" t="str">
        <f ca="1">TEXT(Table1[[#This Row],[Last Sale Date]],"MMM")</f>
        <v>Nov</v>
      </c>
      <c r="F12" s="27">
        <f ca="1">DATE(2025,11,10) + RANDBETWEEN(0,81)</f>
        <v>45975</v>
      </c>
      <c r="G12" s="49">
        <v>100000</v>
      </c>
      <c r="H12" s="53" t="str">
        <f>TEXT(Table1[[#This Row],[Last Payment Date]],"MMM")</f>
        <v>Dec</v>
      </c>
      <c r="I12" s="28">
        <v>46003</v>
      </c>
      <c r="J12" s="107">
        <f>D12-G12</f>
        <v>18000</v>
      </c>
      <c r="K12" s="21">
        <v>1</v>
      </c>
      <c r="L12" s="21">
        <v>4</v>
      </c>
      <c r="M12" s="34" t="str">
        <f>IF(J12&gt;3000,"Pending","Settled")</f>
        <v>Pending</v>
      </c>
      <c r="N12" s="34" t="str">
        <f>IF(J12&gt;350000,"Critical",
   IF(J12&gt;200000,"Very High",
      IF(J12&gt;100000,"High",
         IF(J12&gt;30000,"Medium","Low"))))</f>
        <v>Low</v>
      </c>
      <c r="O12" s="115">
        <f>DATE(2026,1,30) - Table1[[#This Row],[Last Payment Date]]</f>
        <v>49</v>
      </c>
      <c r="P12" s="23" t="str">
        <f>IF(Table1[[#This Row],[Days Since Last Collection]]&lt;=45,"Active", IF(Table1[[#This Row],[Days Since Last Collection]]&lt;=75,"Moderate","Inactive"))</f>
        <v>Moderate</v>
      </c>
      <c r="Q12" s="20"/>
    </row>
    <row r="13" spans="1:17" ht="20.100000000000001" customHeight="1">
      <c r="A13" s="39" t="s">
        <v>79</v>
      </c>
      <c r="B13" s="18" t="s">
        <v>265</v>
      </c>
      <c r="C13" s="22" t="s">
        <v>6</v>
      </c>
      <c r="D13" s="49">
        <v>1466840</v>
      </c>
      <c r="E13" s="21" t="str">
        <f ca="1">TEXT(Table1[[#This Row],[Last Sale Date]],"MMM")</f>
        <v>Dec</v>
      </c>
      <c r="F13" s="27">
        <f ca="1">DATE(2025,11,10) + RANDBETWEEN(0,81)</f>
        <v>46006</v>
      </c>
      <c r="G13" s="49">
        <v>1201070</v>
      </c>
      <c r="H13" s="53" t="str">
        <f>TEXT(Table1[[#This Row],[Last Payment Date]],"MMM")</f>
        <v>Nov</v>
      </c>
      <c r="I13" s="28">
        <v>45988</v>
      </c>
      <c r="J13" s="107">
        <f>D13-G13</f>
        <v>265770</v>
      </c>
      <c r="K13" s="21">
        <v>5</v>
      </c>
      <c r="L13" s="21">
        <v>2</v>
      </c>
      <c r="M13" s="34" t="str">
        <f>IF(J13&gt;3000,"Pending","Settled")</f>
        <v>Pending</v>
      </c>
      <c r="N13" s="34" t="str">
        <f>IF(J13&gt;350000,"Critical",
   IF(J13&gt;200000,"Very High",
      IF(J13&gt;100000,"High",
         IF(J13&gt;30000,"Medium","Low"))))</f>
        <v>Very High</v>
      </c>
      <c r="O13" s="115">
        <f>DATE(2026,1,30) - Table1[[#This Row],[Last Payment Date]]</f>
        <v>64</v>
      </c>
      <c r="P13" s="23" t="str">
        <f>IF(Table1[[#This Row],[Days Since Last Collection]]&lt;=45,"Active", IF(Table1[[#This Row],[Days Since Last Collection]]&lt;=75,"Moderate","Inactive"))</f>
        <v>Moderate</v>
      </c>
      <c r="Q13" s="20"/>
    </row>
    <row r="14" spans="1:17" ht="20.100000000000001" customHeight="1">
      <c r="A14" s="39" t="s">
        <v>106</v>
      </c>
      <c r="B14" s="18" t="s">
        <v>266</v>
      </c>
      <c r="C14" s="22" t="s">
        <v>5</v>
      </c>
      <c r="D14" s="49">
        <v>2355770</v>
      </c>
      <c r="E14" s="21" t="str">
        <f ca="1">TEXT(Table1[[#This Row],[Last Sale Date]],"MMM")</f>
        <v>Nov</v>
      </c>
      <c r="F14" s="27">
        <f ca="1">DATE(2025,11,10) + RANDBETWEEN(0,81)</f>
        <v>45977</v>
      </c>
      <c r="G14" s="49">
        <v>2201120</v>
      </c>
      <c r="H14" s="53" t="str">
        <f>TEXT(Table1[[#This Row],[Last Payment Date]],"MMM")</f>
        <v>Nov</v>
      </c>
      <c r="I14" s="28">
        <v>45979</v>
      </c>
      <c r="J14" s="107">
        <f>D14-G14</f>
        <v>154650</v>
      </c>
      <c r="K14" s="21">
        <v>4</v>
      </c>
      <c r="L14" s="21">
        <v>1</v>
      </c>
      <c r="M14" s="34" t="str">
        <f>IF(J14&gt;3000,"Pending","Settled")</f>
        <v>Pending</v>
      </c>
      <c r="N14" s="34" t="str">
        <f>IF(J14&gt;350000,"Critical",
   IF(J14&gt;200000,"Very High",
      IF(J14&gt;100000,"High",
         IF(J14&gt;30000,"Medium","Low"))))</f>
        <v>High</v>
      </c>
      <c r="O14" s="115">
        <f>DATE(2026,1,30) - Table1[[#This Row],[Last Payment Date]]</f>
        <v>73</v>
      </c>
      <c r="P14" s="23" t="str">
        <f>IF(Table1[[#This Row],[Days Since Last Collection]]&lt;=45,"Active", IF(Table1[[#This Row],[Days Since Last Collection]]&lt;=75,"Moderate","Inactive"))</f>
        <v>Moderate</v>
      </c>
      <c r="Q14" s="20"/>
    </row>
    <row r="15" spans="1:17" ht="20.100000000000001" customHeight="1">
      <c r="A15" s="39" t="s">
        <v>61</v>
      </c>
      <c r="B15" s="18" t="s">
        <v>267</v>
      </c>
      <c r="C15" s="22" t="s">
        <v>5</v>
      </c>
      <c r="D15" s="49">
        <v>2079500</v>
      </c>
      <c r="E15" s="21" t="str">
        <f ca="1">TEXT(Table1[[#This Row],[Last Sale Date]],"MMM")</f>
        <v>Dec</v>
      </c>
      <c r="F15" s="27">
        <f ca="1">DATE(2025,11,10) + RANDBETWEEN(0,81)</f>
        <v>46017</v>
      </c>
      <c r="G15" s="49">
        <v>1759220</v>
      </c>
      <c r="H15" s="53" t="str">
        <f>TEXT(Table1[[#This Row],[Last Payment Date]],"MMM")</f>
        <v>Jan</v>
      </c>
      <c r="I15" s="28">
        <v>46026</v>
      </c>
      <c r="J15" s="107">
        <f>D15-G15</f>
        <v>320280</v>
      </c>
      <c r="K15" s="21">
        <v>4</v>
      </c>
      <c r="L15" s="21">
        <v>4</v>
      </c>
      <c r="M15" s="34" t="str">
        <f>IF(J15&gt;3000,"Pending","Settled")</f>
        <v>Pending</v>
      </c>
      <c r="N15" s="34" t="str">
        <f>IF(J15&gt;350000,"Critical",
   IF(J15&gt;200000,"Very High",
      IF(J15&gt;100000,"High",
         IF(J15&gt;30000,"Medium","Low"))))</f>
        <v>Very High</v>
      </c>
      <c r="O15" s="115">
        <f>DATE(2026,1,30) - Table1[[#This Row],[Last Payment Date]]</f>
        <v>26</v>
      </c>
      <c r="P15" s="23" t="str">
        <f>IF(Table1[[#This Row],[Days Since Last Collection]]&lt;=45,"Active", IF(Table1[[#This Row],[Days Since Last Collection]]&lt;=75,"Moderate","Inactive"))</f>
        <v>Active</v>
      </c>
      <c r="Q15" s="20"/>
    </row>
    <row r="16" spans="1:17" ht="20.100000000000001" customHeight="1">
      <c r="A16" s="39" t="s">
        <v>160</v>
      </c>
      <c r="B16" s="18" t="s">
        <v>268</v>
      </c>
      <c r="C16" s="22" t="s">
        <v>4</v>
      </c>
      <c r="D16" s="49">
        <v>149000</v>
      </c>
      <c r="E16" s="21" t="str">
        <f ca="1">TEXT(Table1[[#This Row],[Last Sale Date]],"MMM")</f>
        <v>Dec</v>
      </c>
      <c r="F16" s="27">
        <f ca="1">DATE(2025,11,10) + RANDBETWEEN(0,81)</f>
        <v>45999</v>
      </c>
      <c r="G16" s="49">
        <v>100000</v>
      </c>
      <c r="H16" s="53" t="str">
        <f>TEXT(Table1[[#This Row],[Last Payment Date]],"MMM")</f>
        <v>Dec</v>
      </c>
      <c r="I16" s="28">
        <v>46021</v>
      </c>
      <c r="J16" s="107">
        <f>D16-G16</f>
        <v>49000</v>
      </c>
      <c r="K16" s="21">
        <v>3</v>
      </c>
      <c r="L16" s="21">
        <v>2</v>
      </c>
      <c r="M16" s="34" t="str">
        <f>IF(J16&gt;3000,"Pending","Settled")</f>
        <v>Pending</v>
      </c>
      <c r="N16" s="34" t="str">
        <f>IF(J16&gt;350000,"Critical",
   IF(J16&gt;200000,"Very High",
      IF(J16&gt;100000,"High",
         IF(J16&gt;30000,"Medium","Low"))))</f>
        <v>Medium</v>
      </c>
      <c r="O16" s="115">
        <f>DATE(2026,1,30) - Table1[[#This Row],[Last Payment Date]]</f>
        <v>31</v>
      </c>
      <c r="P16" s="23" t="str">
        <f>IF(Table1[[#This Row],[Days Since Last Collection]]&lt;=45,"Active", IF(Table1[[#This Row],[Days Since Last Collection]]&lt;=75,"Moderate","Inactive"))</f>
        <v>Active</v>
      </c>
      <c r="Q16" s="20"/>
    </row>
    <row r="17" spans="1:17" ht="20.100000000000001" customHeight="1">
      <c r="A17" s="39" t="s">
        <v>159</v>
      </c>
      <c r="B17" s="18" t="s">
        <v>269</v>
      </c>
      <c r="C17" s="22" t="s">
        <v>5</v>
      </c>
      <c r="D17" s="49">
        <v>70000</v>
      </c>
      <c r="E17" s="21" t="str">
        <f ca="1">TEXT(Table1[[#This Row],[Last Sale Date]],"MMM")</f>
        <v>Nov</v>
      </c>
      <c r="F17" s="27">
        <f ca="1">DATE(2025,11,10) + RANDBETWEEN(0,81)</f>
        <v>45985</v>
      </c>
      <c r="G17" s="49">
        <v>21000</v>
      </c>
      <c r="H17" s="53" t="str">
        <f>TEXT(Table1[[#This Row],[Last Payment Date]],"MMM")</f>
        <v>Jan</v>
      </c>
      <c r="I17" s="28">
        <v>46045</v>
      </c>
      <c r="J17" s="107">
        <f>D17-G17</f>
        <v>49000</v>
      </c>
      <c r="K17" s="21">
        <v>1</v>
      </c>
      <c r="L17" s="21">
        <v>1</v>
      </c>
      <c r="M17" s="34" t="str">
        <f>IF(J17&gt;3000,"Pending","Settled")</f>
        <v>Pending</v>
      </c>
      <c r="N17" s="34" t="str">
        <f>IF(J17&gt;350000,"Critical",
   IF(J17&gt;200000,"Very High",
      IF(J17&gt;100000,"High",
         IF(J17&gt;30000,"Medium","Low"))))</f>
        <v>Medium</v>
      </c>
      <c r="O17" s="115">
        <f>DATE(2026,1,30) - Table1[[#This Row],[Last Payment Date]]</f>
        <v>7</v>
      </c>
      <c r="P17" s="23" t="str">
        <f>IF(Table1[[#This Row],[Days Since Last Collection]]&lt;=45,"Active", IF(Table1[[#This Row],[Days Since Last Collection]]&lt;=75,"Moderate","Inactive"))</f>
        <v>Active</v>
      </c>
      <c r="Q17" s="20"/>
    </row>
    <row r="18" spans="1:17" ht="20.100000000000001" customHeight="1">
      <c r="A18" s="39" t="s">
        <v>206</v>
      </c>
      <c r="B18" s="18" t="s">
        <v>270</v>
      </c>
      <c r="C18" s="22" t="s">
        <v>5</v>
      </c>
      <c r="D18" s="49">
        <v>11000</v>
      </c>
      <c r="E18" s="21" t="str">
        <f ca="1">TEXT(Table1[[#This Row],[Last Sale Date]],"MMM")</f>
        <v>Dec</v>
      </c>
      <c r="F18" s="27">
        <f ca="1">DATE(2025,11,10) + RANDBETWEEN(0,81)</f>
        <v>46014</v>
      </c>
      <c r="G18" s="49">
        <v>4000</v>
      </c>
      <c r="H18" s="53" t="str">
        <f>TEXT(Table1[[#This Row],[Last Payment Date]],"MMM")</f>
        <v>Nov</v>
      </c>
      <c r="I18" s="28">
        <v>45972</v>
      </c>
      <c r="J18" s="107">
        <f>D18-G18</f>
        <v>7000</v>
      </c>
      <c r="K18" s="21">
        <v>3</v>
      </c>
      <c r="L18" s="21">
        <v>2</v>
      </c>
      <c r="M18" s="34" t="str">
        <f>IF(J18&gt;3000,"Pending","Settled")</f>
        <v>Pending</v>
      </c>
      <c r="N18" s="34" t="str">
        <f>IF(J18&gt;350000,"Critical",
   IF(J18&gt;200000,"Very High",
      IF(J18&gt;100000,"High",
         IF(J18&gt;30000,"Medium","Low"))))</f>
        <v>Low</v>
      </c>
      <c r="O18" s="115">
        <f>DATE(2026,1,30) - Table1[[#This Row],[Last Payment Date]]</f>
        <v>80</v>
      </c>
      <c r="P18" s="23" t="str">
        <f>IF(Table1[[#This Row],[Days Since Last Collection]]&lt;=45,"Active", IF(Table1[[#This Row],[Days Since Last Collection]]&lt;=75,"Moderate","Inactive"))</f>
        <v>Inactive</v>
      </c>
      <c r="Q18" s="20"/>
    </row>
    <row r="19" spans="1:17" ht="20.100000000000001" customHeight="1">
      <c r="A19" s="39" t="s">
        <v>166</v>
      </c>
      <c r="B19" s="18" t="s">
        <v>271</v>
      </c>
      <c r="C19" s="22" t="s">
        <v>5</v>
      </c>
      <c r="D19" s="49">
        <v>1645900</v>
      </c>
      <c r="E19" s="21" t="str">
        <f ca="1">TEXT(Table1[[#This Row],[Last Sale Date]],"MMM")</f>
        <v>Dec</v>
      </c>
      <c r="F19" s="27">
        <f ca="1">DATE(2025,11,10) + RANDBETWEEN(0,81)</f>
        <v>45996</v>
      </c>
      <c r="G19" s="49">
        <v>1608740</v>
      </c>
      <c r="H19" s="53" t="str">
        <f>TEXT(Table1[[#This Row],[Last Payment Date]],"MMM")</f>
        <v>Nov</v>
      </c>
      <c r="I19" s="28">
        <v>45978</v>
      </c>
      <c r="J19" s="107">
        <f>D19-G19</f>
        <v>37160</v>
      </c>
      <c r="K19" s="21">
        <v>2</v>
      </c>
      <c r="L19" s="21">
        <v>2</v>
      </c>
      <c r="M19" s="34" t="str">
        <f>IF(J19&gt;3000,"Pending","Settled")</f>
        <v>Pending</v>
      </c>
      <c r="N19" s="34" t="str">
        <f>IF(J19&gt;350000,"Critical",
   IF(J19&gt;200000,"Very High",
      IF(J19&gt;100000,"High",
         IF(J19&gt;30000,"Medium","Low"))))</f>
        <v>Medium</v>
      </c>
      <c r="O19" s="115">
        <f>DATE(2026,1,30) - Table1[[#This Row],[Last Payment Date]]</f>
        <v>74</v>
      </c>
      <c r="P19" s="23" t="str">
        <f>IF(Table1[[#This Row],[Days Since Last Collection]]&lt;=45,"Active", IF(Table1[[#This Row],[Days Since Last Collection]]&lt;=75,"Moderate","Inactive"))</f>
        <v>Moderate</v>
      </c>
      <c r="Q19" s="20"/>
    </row>
    <row r="20" spans="1:17" ht="20.100000000000001" customHeight="1">
      <c r="A20" s="39" t="s">
        <v>99</v>
      </c>
      <c r="B20" s="18" t="s">
        <v>272</v>
      </c>
      <c r="C20" s="22" t="s">
        <v>7</v>
      </c>
      <c r="D20" s="49">
        <v>1893280</v>
      </c>
      <c r="E20" s="21" t="str">
        <f ca="1">TEXT(Table1[[#This Row],[Last Sale Date]],"MMM")</f>
        <v>Jan</v>
      </c>
      <c r="F20" s="27">
        <f ca="1">DATE(2025,11,10) + RANDBETWEEN(0,81)</f>
        <v>46031</v>
      </c>
      <c r="G20" s="49">
        <v>1718710</v>
      </c>
      <c r="H20" s="53" t="str">
        <f>TEXT(Table1[[#This Row],[Last Payment Date]],"MMM")</f>
        <v>Dec</v>
      </c>
      <c r="I20" s="28">
        <v>46001</v>
      </c>
      <c r="J20" s="107">
        <f>D20-G20</f>
        <v>174570</v>
      </c>
      <c r="K20" s="21">
        <v>7</v>
      </c>
      <c r="L20" s="21">
        <v>11</v>
      </c>
      <c r="M20" s="34" t="str">
        <f>IF(J20&gt;3000,"Pending","Settled")</f>
        <v>Pending</v>
      </c>
      <c r="N20" s="34" t="str">
        <f>IF(J20&gt;350000,"Critical",
   IF(J20&gt;200000,"Very High",
      IF(J20&gt;100000,"High",
         IF(J20&gt;30000,"Medium","Low"))))</f>
        <v>High</v>
      </c>
      <c r="O20" s="115">
        <f>DATE(2026,1,30) - Table1[[#This Row],[Last Payment Date]]</f>
        <v>51</v>
      </c>
      <c r="P20" s="23" t="str">
        <f>IF(Table1[[#This Row],[Days Since Last Collection]]&lt;=45,"Active", IF(Table1[[#This Row],[Days Since Last Collection]]&lt;=75,"Moderate","Inactive"))</f>
        <v>Moderate</v>
      </c>
      <c r="Q20" s="20"/>
    </row>
    <row r="21" spans="1:17" ht="20.100000000000001" customHeight="1">
      <c r="A21" s="39" t="s">
        <v>172</v>
      </c>
      <c r="B21" s="18" t="s">
        <v>273</v>
      </c>
      <c r="C21" s="22" t="s">
        <v>9</v>
      </c>
      <c r="D21" s="49">
        <v>126530</v>
      </c>
      <c r="E21" s="21" t="str">
        <f ca="1">TEXT(Table1[[#This Row],[Last Sale Date]],"MMM")</f>
        <v>Dec</v>
      </c>
      <c r="F21" s="27">
        <f ca="1">DATE(2025,11,10) + RANDBETWEEN(0,81)</f>
        <v>46006</v>
      </c>
      <c r="G21" s="49">
        <v>98930</v>
      </c>
      <c r="H21" s="53" t="str">
        <f>TEXT(Table1[[#This Row],[Last Payment Date]],"MMM")</f>
        <v>Nov</v>
      </c>
      <c r="I21" s="28">
        <v>45990</v>
      </c>
      <c r="J21" s="107">
        <f>D21-G21</f>
        <v>27600</v>
      </c>
      <c r="K21" s="21">
        <v>5</v>
      </c>
      <c r="L21" s="21">
        <v>2</v>
      </c>
      <c r="M21" s="34" t="str">
        <f>IF(J21&gt;3000,"Pending","Settled")</f>
        <v>Pending</v>
      </c>
      <c r="N21" s="34" t="str">
        <f>IF(J21&gt;350000,"Critical",
   IF(J21&gt;200000,"Very High",
      IF(J21&gt;100000,"High",
         IF(J21&gt;30000,"Medium","Low"))))</f>
        <v>Low</v>
      </c>
      <c r="O21" s="115">
        <f>DATE(2026,1,30) - Table1[[#This Row],[Last Payment Date]]</f>
        <v>62</v>
      </c>
      <c r="P21" s="23" t="str">
        <f>IF(Table1[[#This Row],[Days Since Last Collection]]&lt;=45,"Active", IF(Table1[[#This Row],[Days Since Last Collection]]&lt;=75,"Moderate","Inactive"))</f>
        <v>Moderate</v>
      </c>
      <c r="Q21" s="20"/>
    </row>
    <row r="22" spans="1:17" ht="20.100000000000001" customHeight="1">
      <c r="A22" s="39" t="s">
        <v>72</v>
      </c>
      <c r="B22" s="18" t="s">
        <v>274</v>
      </c>
      <c r="C22" s="22" t="s">
        <v>6</v>
      </c>
      <c r="D22" s="49">
        <v>2206270</v>
      </c>
      <c r="E22" s="21" t="str">
        <f ca="1">TEXT(Table1[[#This Row],[Last Sale Date]],"MMM")</f>
        <v>Nov</v>
      </c>
      <c r="F22" s="27">
        <f ca="1">DATE(2025,11,10) + RANDBETWEEN(0,81)</f>
        <v>45980</v>
      </c>
      <c r="G22" s="49">
        <v>1917270</v>
      </c>
      <c r="H22" s="53" t="str">
        <f>TEXT(Table1[[#This Row],[Last Payment Date]],"MMM")</f>
        <v>Dec</v>
      </c>
      <c r="I22" s="28">
        <v>46002</v>
      </c>
      <c r="J22" s="107">
        <f>D22-G22</f>
        <v>289000</v>
      </c>
      <c r="K22" s="21">
        <v>9</v>
      </c>
      <c r="L22" s="21">
        <v>12</v>
      </c>
      <c r="M22" s="34" t="str">
        <f>IF(J22&gt;3000,"Pending","Settled")</f>
        <v>Pending</v>
      </c>
      <c r="N22" s="34" t="str">
        <f>IF(J22&gt;350000,"Critical",
   IF(J22&gt;200000,"Very High",
      IF(J22&gt;100000,"High",
         IF(J22&gt;30000,"Medium","Low"))))</f>
        <v>Very High</v>
      </c>
      <c r="O22" s="115">
        <f>DATE(2026,1,30) - Table1[[#This Row],[Last Payment Date]]</f>
        <v>50</v>
      </c>
      <c r="P22" s="23" t="str">
        <f>IF(Table1[[#This Row],[Days Since Last Collection]]&lt;=45,"Active", IF(Table1[[#This Row],[Days Since Last Collection]]&lt;=75,"Moderate","Inactive"))</f>
        <v>Moderate</v>
      </c>
      <c r="Q22" s="20"/>
    </row>
    <row r="23" spans="1:17" ht="20.100000000000001" customHeight="1">
      <c r="A23" s="39" t="s">
        <v>198</v>
      </c>
      <c r="B23" s="18" t="s">
        <v>275</v>
      </c>
      <c r="C23" s="22" t="s">
        <v>7</v>
      </c>
      <c r="D23" s="49">
        <v>12980</v>
      </c>
      <c r="E23" s="21" t="str">
        <f ca="1">TEXT(Table1[[#This Row],[Last Sale Date]],"MMM")</f>
        <v>Dec</v>
      </c>
      <c r="F23" s="27">
        <f ca="1">DATE(2025,11,10) + RANDBETWEEN(0,81)</f>
        <v>45996</v>
      </c>
      <c r="G23" s="49">
        <v>2800</v>
      </c>
      <c r="H23" s="53" t="str">
        <f>TEXT(Table1[[#This Row],[Last Payment Date]],"MMM")</f>
        <v>Dec</v>
      </c>
      <c r="I23" s="28">
        <v>46015</v>
      </c>
      <c r="J23" s="107">
        <f>D23-G23</f>
        <v>10180</v>
      </c>
      <c r="K23" s="21">
        <v>1</v>
      </c>
      <c r="L23" s="21">
        <v>1</v>
      </c>
      <c r="M23" s="34" t="str">
        <f>IF(J23&gt;3000,"Pending","Settled")</f>
        <v>Pending</v>
      </c>
      <c r="N23" s="34" t="str">
        <f>IF(J23&gt;350000,"Critical",
   IF(J23&gt;200000,"Very High",
      IF(J23&gt;100000,"High",
         IF(J23&gt;30000,"Medium","Low"))))</f>
        <v>Low</v>
      </c>
      <c r="O23" s="115">
        <f>DATE(2026,1,30) - Table1[[#This Row],[Last Payment Date]]</f>
        <v>37</v>
      </c>
      <c r="P23" s="23" t="str">
        <f>IF(Table1[[#This Row],[Days Since Last Collection]]&lt;=45,"Active", IF(Table1[[#This Row],[Days Since Last Collection]]&lt;=75,"Moderate","Inactive"))</f>
        <v>Active</v>
      </c>
      <c r="Q23" s="20"/>
    </row>
    <row r="24" spans="1:17" ht="20.100000000000001" customHeight="1">
      <c r="A24" s="39" t="s">
        <v>156</v>
      </c>
      <c r="B24" s="18" t="s">
        <v>255</v>
      </c>
      <c r="C24" s="22" t="s">
        <v>7</v>
      </c>
      <c r="D24" s="49">
        <v>170000</v>
      </c>
      <c r="E24" s="21" t="str">
        <f ca="1">TEXT(Table1[[#This Row],[Last Sale Date]],"MMM")</f>
        <v>Dec</v>
      </c>
      <c r="F24" s="27">
        <f ca="1">DATE(2025,11,10) + RANDBETWEEN(0,81)</f>
        <v>45992</v>
      </c>
      <c r="G24" s="49">
        <v>120000</v>
      </c>
      <c r="H24" s="53" t="str">
        <f>TEXT(Table1[[#This Row],[Last Payment Date]],"MMM")</f>
        <v>Dec</v>
      </c>
      <c r="I24" s="28">
        <v>45995</v>
      </c>
      <c r="J24" s="107">
        <f>D24-G24</f>
        <v>50000</v>
      </c>
      <c r="K24" s="21">
        <v>4</v>
      </c>
      <c r="L24" s="21">
        <v>3</v>
      </c>
      <c r="M24" s="34" t="str">
        <f>IF(J24&gt;3000,"Pending","Settled")</f>
        <v>Pending</v>
      </c>
      <c r="N24" s="34" t="str">
        <f>IF(J24&gt;350000,"Critical",
   IF(J24&gt;200000,"Very High",
      IF(J24&gt;100000,"High",
         IF(J24&gt;30000,"Medium","Low"))))</f>
        <v>Medium</v>
      </c>
      <c r="O24" s="115">
        <f>DATE(2026,1,30) - Table1[[#This Row],[Last Payment Date]]</f>
        <v>57</v>
      </c>
      <c r="P24" s="23" t="str">
        <f>IF(Table1[[#This Row],[Days Since Last Collection]]&lt;=45,"Active", IF(Table1[[#This Row],[Days Since Last Collection]]&lt;=75,"Moderate","Inactive"))</f>
        <v>Moderate</v>
      </c>
      <c r="Q24" s="20"/>
    </row>
    <row r="25" spans="1:17" ht="20.100000000000001" customHeight="1">
      <c r="A25" s="39" t="s">
        <v>188</v>
      </c>
      <c r="B25" s="18" t="s">
        <v>269</v>
      </c>
      <c r="C25" s="22" t="s">
        <v>5</v>
      </c>
      <c r="D25" s="49">
        <v>65000</v>
      </c>
      <c r="E25" s="21" t="str">
        <f ca="1">TEXT(Table1[[#This Row],[Last Sale Date]],"MMM")</f>
        <v>Jan</v>
      </c>
      <c r="F25" s="27">
        <f ca="1">DATE(2025,11,10) + RANDBETWEEN(0,81)</f>
        <v>46047</v>
      </c>
      <c r="G25" s="49">
        <v>50000</v>
      </c>
      <c r="H25" s="53" t="str">
        <f>TEXT(Table1[[#This Row],[Last Payment Date]],"MMM")</f>
        <v>Dec</v>
      </c>
      <c r="I25" s="28">
        <v>46021</v>
      </c>
      <c r="J25" s="107">
        <f>D25-G25</f>
        <v>15000</v>
      </c>
      <c r="K25" s="21">
        <v>2</v>
      </c>
      <c r="L25" s="21">
        <v>1</v>
      </c>
      <c r="M25" s="34" t="str">
        <f>IF(J25&gt;3000,"Pending","Settled")</f>
        <v>Pending</v>
      </c>
      <c r="N25" s="34" t="str">
        <f>IF(J25&gt;350000,"Critical",
   IF(J25&gt;200000,"Very High",
      IF(J25&gt;100000,"High",
         IF(J25&gt;30000,"Medium","Low"))))</f>
        <v>Low</v>
      </c>
      <c r="O25" s="115">
        <f>DATE(2026,1,30) - Table1[[#This Row],[Last Payment Date]]</f>
        <v>31</v>
      </c>
      <c r="P25" s="23" t="str">
        <f>IF(Table1[[#This Row],[Days Since Last Collection]]&lt;=45,"Active", IF(Table1[[#This Row],[Days Since Last Collection]]&lt;=75,"Moderate","Inactive"))</f>
        <v>Active</v>
      </c>
      <c r="Q25" s="20"/>
    </row>
    <row r="26" spans="1:17" ht="20.100000000000001" customHeight="1">
      <c r="A26" s="39" t="s">
        <v>177</v>
      </c>
      <c r="B26" s="18" t="s">
        <v>276</v>
      </c>
      <c r="C26" s="22" t="s">
        <v>12</v>
      </c>
      <c r="D26" s="49">
        <v>189120</v>
      </c>
      <c r="E26" s="21" t="str">
        <f ca="1">TEXT(Table1[[#This Row],[Last Sale Date]],"MMM")</f>
        <v>Nov</v>
      </c>
      <c r="F26" s="27">
        <f ca="1">DATE(2025,11,10) + RANDBETWEEN(0,81)</f>
        <v>45977</v>
      </c>
      <c r="G26" s="49">
        <v>165220</v>
      </c>
      <c r="H26" s="53" t="str">
        <f>TEXT(Table1[[#This Row],[Last Payment Date]],"MMM")</f>
        <v>Jan</v>
      </c>
      <c r="I26" s="28">
        <v>46047</v>
      </c>
      <c r="J26" s="107">
        <f>D26-G26</f>
        <v>23900</v>
      </c>
      <c r="K26" s="21">
        <v>6</v>
      </c>
      <c r="L26" s="21">
        <v>1</v>
      </c>
      <c r="M26" s="34" t="str">
        <f>IF(J26&gt;3000,"Pending","Settled")</f>
        <v>Pending</v>
      </c>
      <c r="N26" s="34" t="str">
        <f>IF(J26&gt;350000,"Critical",
   IF(J26&gt;200000,"Very High",
      IF(J26&gt;100000,"High",
         IF(J26&gt;30000,"Medium","Low"))))</f>
        <v>Low</v>
      </c>
      <c r="O26" s="115">
        <f>DATE(2026,1,30) - Table1[[#This Row],[Last Payment Date]]</f>
        <v>5</v>
      </c>
      <c r="P26" s="23" t="str">
        <f>IF(Table1[[#This Row],[Days Since Last Collection]]&lt;=45,"Active", IF(Table1[[#This Row],[Days Since Last Collection]]&lt;=75,"Moderate","Inactive"))</f>
        <v>Active</v>
      </c>
      <c r="Q26" s="20"/>
    </row>
    <row r="27" spans="1:17" ht="20.100000000000001" customHeight="1">
      <c r="A27" s="39" t="s">
        <v>89</v>
      </c>
      <c r="B27" s="18" t="s">
        <v>277</v>
      </c>
      <c r="C27" s="22" t="s">
        <v>5</v>
      </c>
      <c r="D27" s="49">
        <v>1273490</v>
      </c>
      <c r="E27" s="21" t="str">
        <f ca="1">TEXT(Table1[[#This Row],[Last Sale Date]],"MMM")</f>
        <v>Nov</v>
      </c>
      <c r="F27" s="27">
        <f ca="1">DATE(2025,11,10) + RANDBETWEEN(0,81)</f>
        <v>45988</v>
      </c>
      <c r="G27" s="49">
        <v>1055640</v>
      </c>
      <c r="H27" s="53" t="str">
        <f>TEXT(Table1[[#This Row],[Last Payment Date]],"MMM")</f>
        <v>Jan</v>
      </c>
      <c r="I27" s="28">
        <v>46025</v>
      </c>
      <c r="J27" s="107">
        <f>D27-G27</f>
        <v>217850</v>
      </c>
      <c r="K27" s="21">
        <v>2</v>
      </c>
      <c r="L27" s="21">
        <v>4</v>
      </c>
      <c r="M27" s="34" t="str">
        <f>IF(J27&gt;3000,"Pending","Settled")</f>
        <v>Pending</v>
      </c>
      <c r="N27" s="34" t="str">
        <f>IF(J27&gt;350000,"Critical",
   IF(J27&gt;200000,"Very High",
      IF(J27&gt;100000,"High",
         IF(J27&gt;30000,"Medium","Low"))))</f>
        <v>Very High</v>
      </c>
      <c r="O27" s="115">
        <f>DATE(2026,1,30) - Table1[[#This Row],[Last Payment Date]]</f>
        <v>27</v>
      </c>
      <c r="P27" s="23" t="str">
        <f>IF(Table1[[#This Row],[Days Since Last Collection]]&lt;=45,"Active", IF(Table1[[#This Row],[Days Since Last Collection]]&lt;=75,"Moderate","Inactive"))</f>
        <v>Active</v>
      </c>
      <c r="Q27" s="20"/>
    </row>
    <row r="28" spans="1:17" ht="20.100000000000001" customHeight="1">
      <c r="A28" s="39" t="s">
        <v>115</v>
      </c>
      <c r="B28" s="18" t="s">
        <v>278</v>
      </c>
      <c r="C28" s="22" t="s">
        <v>5</v>
      </c>
      <c r="D28" s="49">
        <v>2167440</v>
      </c>
      <c r="E28" s="21" t="str">
        <f ca="1">TEXT(Table1[[#This Row],[Last Sale Date]],"MMM")</f>
        <v>Jan</v>
      </c>
      <c r="F28" s="27">
        <f ca="1">DATE(2025,11,10) + RANDBETWEEN(0,81)</f>
        <v>46039</v>
      </c>
      <c r="G28" s="49">
        <v>2029130</v>
      </c>
      <c r="H28" s="53" t="str">
        <f>TEXT(Table1[[#This Row],[Last Payment Date]],"MMM")</f>
        <v>Dec</v>
      </c>
      <c r="I28" s="28">
        <v>45996</v>
      </c>
      <c r="J28" s="107">
        <f>D28-G28</f>
        <v>138310</v>
      </c>
      <c r="K28" s="21">
        <v>1</v>
      </c>
      <c r="L28" s="21">
        <v>1</v>
      </c>
      <c r="M28" s="34" t="str">
        <f>IF(J28&gt;3000,"Pending","Settled")</f>
        <v>Pending</v>
      </c>
      <c r="N28" s="34" t="str">
        <f>IF(J28&gt;350000,"Critical",
   IF(J28&gt;200000,"Very High",
      IF(J28&gt;100000,"High",
         IF(J28&gt;30000,"Medium","Low"))))</f>
        <v>High</v>
      </c>
      <c r="O28" s="115">
        <f>DATE(2026,1,30) - Table1[[#This Row],[Last Payment Date]]</f>
        <v>56</v>
      </c>
      <c r="P28" s="23" t="str">
        <f>IF(Table1[[#This Row],[Days Since Last Collection]]&lt;=45,"Active", IF(Table1[[#This Row],[Days Since Last Collection]]&lt;=75,"Moderate","Inactive"))</f>
        <v>Moderate</v>
      </c>
      <c r="Q28" s="20"/>
    </row>
    <row r="29" spans="1:17" ht="20.100000000000001" customHeight="1">
      <c r="A29" s="39" t="s">
        <v>186</v>
      </c>
      <c r="B29" s="18" t="s">
        <v>279</v>
      </c>
      <c r="C29" s="22" t="s">
        <v>12</v>
      </c>
      <c r="D29" s="49">
        <v>237500</v>
      </c>
      <c r="E29" s="21" t="str">
        <f ca="1">TEXT(Table1[[#This Row],[Last Sale Date]],"MMM")</f>
        <v>Jan</v>
      </c>
      <c r="F29" s="27">
        <f ca="1">DATE(2025,11,10) + RANDBETWEEN(0,81)</f>
        <v>46030</v>
      </c>
      <c r="G29" s="49">
        <v>220710</v>
      </c>
      <c r="H29" s="53" t="str">
        <f>TEXT(Table1[[#This Row],[Last Payment Date]],"MMM")</f>
        <v>Nov</v>
      </c>
      <c r="I29" s="28">
        <v>45976</v>
      </c>
      <c r="J29" s="107">
        <f>D29-G29</f>
        <v>16790</v>
      </c>
      <c r="K29" s="21">
        <v>4</v>
      </c>
      <c r="L29" s="21">
        <v>2</v>
      </c>
      <c r="M29" s="34" t="str">
        <f>IF(J29&gt;3000,"Pending","Settled")</f>
        <v>Pending</v>
      </c>
      <c r="N29" s="34" t="str">
        <f>IF(J29&gt;350000,"Critical",
   IF(J29&gt;200000,"Very High",
      IF(J29&gt;100000,"High",
         IF(J29&gt;30000,"Medium","Low"))))</f>
        <v>Low</v>
      </c>
      <c r="O29" s="115">
        <f>DATE(2026,1,30) - Table1[[#This Row],[Last Payment Date]]</f>
        <v>76</v>
      </c>
      <c r="P29" s="23" t="str">
        <f>IF(Table1[[#This Row],[Days Since Last Collection]]&lt;=45,"Active", IF(Table1[[#This Row],[Days Since Last Collection]]&lt;=75,"Moderate","Inactive"))</f>
        <v>Inactive</v>
      </c>
      <c r="Q29" s="20"/>
    </row>
    <row r="30" spans="1:17" ht="20.100000000000001" customHeight="1">
      <c r="A30" s="39" t="s">
        <v>130</v>
      </c>
      <c r="B30" s="18" t="s">
        <v>280</v>
      </c>
      <c r="C30" s="22" t="s">
        <v>5</v>
      </c>
      <c r="D30" s="49">
        <v>147000</v>
      </c>
      <c r="E30" s="21" t="str">
        <f ca="1">TEXT(Table1[[#This Row],[Last Sale Date]],"MMM")</f>
        <v>Dec</v>
      </c>
      <c r="F30" s="27">
        <f ca="1">DATE(2025,11,10) + RANDBETWEEN(0,81)</f>
        <v>46008</v>
      </c>
      <c r="G30" s="49">
        <v>50000</v>
      </c>
      <c r="H30" s="53" t="str">
        <f>TEXT(Table1[[#This Row],[Last Payment Date]],"MMM")</f>
        <v>Jan</v>
      </c>
      <c r="I30" s="28">
        <v>46037</v>
      </c>
      <c r="J30" s="107">
        <f>D30-G30</f>
        <v>97000</v>
      </c>
      <c r="K30" s="21">
        <v>3</v>
      </c>
      <c r="L30" s="21">
        <v>2</v>
      </c>
      <c r="M30" s="34" t="str">
        <f>IF(J30&gt;3000,"Pending","Settled")</f>
        <v>Pending</v>
      </c>
      <c r="N30" s="34" t="str">
        <f>IF(J30&gt;350000,"Critical",
   IF(J30&gt;200000,"Very High",
      IF(J30&gt;100000,"High",
         IF(J30&gt;30000,"Medium","Low"))))</f>
        <v>Medium</v>
      </c>
      <c r="O30" s="115">
        <f>DATE(2026,1,30) - Table1[[#This Row],[Last Payment Date]]</f>
        <v>15</v>
      </c>
      <c r="P30" s="23" t="str">
        <f>IF(Table1[[#This Row],[Days Since Last Collection]]&lt;=45,"Active", IF(Table1[[#This Row],[Days Since Last Collection]]&lt;=75,"Moderate","Inactive"))</f>
        <v>Active</v>
      </c>
      <c r="Q30" s="20"/>
    </row>
    <row r="31" spans="1:17" ht="20.100000000000001" customHeight="1">
      <c r="A31" s="39" t="s">
        <v>37</v>
      </c>
      <c r="B31" s="18" t="s">
        <v>281</v>
      </c>
      <c r="C31" s="22" t="s">
        <v>7</v>
      </c>
      <c r="D31" s="49">
        <v>890000</v>
      </c>
      <c r="E31" s="21" t="str">
        <f ca="1">TEXT(Table1[[#This Row],[Last Sale Date]],"MMM")</f>
        <v>Jan</v>
      </c>
      <c r="F31" s="27">
        <f ca="1">DATE(2025,11,10) + RANDBETWEEN(0,81)</f>
        <v>46047</v>
      </c>
      <c r="G31" s="49">
        <v>331610</v>
      </c>
      <c r="H31" s="53" t="str">
        <f>TEXT(Table1[[#This Row],[Last Payment Date]],"MMM")</f>
        <v>Jan</v>
      </c>
      <c r="I31" s="28">
        <v>46030</v>
      </c>
      <c r="J31" s="107">
        <f>D31-G31</f>
        <v>558390</v>
      </c>
      <c r="K31" s="21">
        <v>8</v>
      </c>
      <c r="L31" s="21">
        <v>6</v>
      </c>
      <c r="M31" s="34" t="str">
        <f>IF(J31&gt;3000,"Pending","Settled")</f>
        <v>Pending</v>
      </c>
      <c r="N31" s="34" t="str">
        <f>IF(J31&gt;350000,"Critical",
   IF(J31&gt;200000,"Very High",
      IF(J31&gt;100000,"High",
         IF(J31&gt;30000,"Medium","Low"))))</f>
        <v>Critical</v>
      </c>
      <c r="O31" s="115">
        <f>DATE(2026,1,30) - Table1[[#This Row],[Last Payment Date]]</f>
        <v>22</v>
      </c>
      <c r="P31" s="23" t="str">
        <f>IF(Table1[[#This Row],[Days Since Last Collection]]&lt;=45,"Active", IF(Table1[[#This Row],[Days Since Last Collection]]&lt;=75,"Moderate","Inactive"))</f>
        <v>Active</v>
      </c>
      <c r="Q31" s="20"/>
    </row>
    <row r="32" spans="1:17" ht="20.100000000000001" customHeight="1">
      <c r="A32" s="39" t="s">
        <v>95</v>
      </c>
      <c r="B32" s="18" t="s">
        <v>282</v>
      </c>
      <c r="C32" s="22" t="s">
        <v>7</v>
      </c>
      <c r="D32" s="49">
        <v>2260900</v>
      </c>
      <c r="E32" s="21" t="str">
        <f ca="1">TEXT(Table1[[#This Row],[Last Sale Date]],"MMM")</f>
        <v>Nov</v>
      </c>
      <c r="F32" s="27">
        <f ca="1">DATE(2025,11,10) + RANDBETWEEN(0,81)</f>
        <v>45979</v>
      </c>
      <c r="G32" s="49">
        <v>2069930</v>
      </c>
      <c r="H32" s="53" t="str">
        <f>TEXT(Table1[[#This Row],[Last Payment Date]],"MMM")</f>
        <v>Nov</v>
      </c>
      <c r="I32" s="28">
        <v>45982</v>
      </c>
      <c r="J32" s="107">
        <f>D32-G32</f>
        <v>190970</v>
      </c>
      <c r="K32" s="21">
        <v>5</v>
      </c>
      <c r="L32" s="21">
        <v>1</v>
      </c>
      <c r="M32" s="34" t="str">
        <f>IF(J32&gt;3000,"Pending","Settled")</f>
        <v>Pending</v>
      </c>
      <c r="N32" s="34" t="str">
        <f>IF(J32&gt;350000,"Critical",
   IF(J32&gt;200000,"Very High",
      IF(J32&gt;100000,"High",
         IF(J32&gt;30000,"Medium","Low"))))</f>
        <v>High</v>
      </c>
      <c r="O32" s="115">
        <f>DATE(2026,1,30) - Table1[[#This Row],[Last Payment Date]]</f>
        <v>70</v>
      </c>
      <c r="P32" s="23" t="str">
        <f>IF(Table1[[#This Row],[Days Since Last Collection]]&lt;=45,"Active", IF(Table1[[#This Row],[Days Since Last Collection]]&lt;=75,"Moderate","Inactive"))</f>
        <v>Moderate</v>
      </c>
      <c r="Q32" s="20"/>
    </row>
    <row r="33" spans="1:17" ht="20.100000000000001" customHeight="1">
      <c r="A33" s="39" t="s">
        <v>51</v>
      </c>
      <c r="B33" s="18" t="s">
        <v>283</v>
      </c>
      <c r="C33" s="22" t="s">
        <v>5</v>
      </c>
      <c r="D33" s="49">
        <v>1526020</v>
      </c>
      <c r="E33" s="21" t="str">
        <f ca="1">TEXT(Table1[[#This Row],[Last Sale Date]],"MMM")</f>
        <v>Dec</v>
      </c>
      <c r="F33" s="27">
        <f ca="1">DATE(2025,11,10) + RANDBETWEEN(0,81)</f>
        <v>46003</v>
      </c>
      <c r="G33" s="49">
        <v>1165160</v>
      </c>
      <c r="H33" s="53" t="str">
        <f>TEXT(Table1[[#This Row],[Last Payment Date]],"MMM")</f>
        <v>Jan</v>
      </c>
      <c r="I33" s="28">
        <v>46040</v>
      </c>
      <c r="J33" s="107">
        <f>D33-G33</f>
        <v>360860</v>
      </c>
      <c r="K33" s="21">
        <v>1</v>
      </c>
      <c r="L33" s="21">
        <v>4</v>
      </c>
      <c r="M33" s="34" t="str">
        <f>IF(J33&gt;3000,"Pending","Settled")</f>
        <v>Pending</v>
      </c>
      <c r="N33" s="34" t="str">
        <f>IF(J33&gt;350000,"Critical",
   IF(J33&gt;200000,"Very High",
      IF(J33&gt;100000,"High",
         IF(J33&gt;30000,"Medium","Low"))))</f>
        <v>Critical</v>
      </c>
      <c r="O33" s="115">
        <f>DATE(2026,1,30) - Table1[[#This Row],[Last Payment Date]]</f>
        <v>12</v>
      </c>
      <c r="P33" s="23" t="str">
        <f>IF(Table1[[#This Row],[Days Since Last Collection]]&lt;=45,"Active", IF(Table1[[#This Row],[Days Since Last Collection]]&lt;=75,"Moderate","Inactive"))</f>
        <v>Active</v>
      </c>
      <c r="Q33" s="20"/>
    </row>
    <row r="34" spans="1:17" ht="20.100000000000001" customHeight="1">
      <c r="A34" s="39" t="s">
        <v>233</v>
      </c>
      <c r="B34" s="18" t="s">
        <v>284</v>
      </c>
      <c r="C34" s="22" t="s">
        <v>5</v>
      </c>
      <c r="D34" s="49">
        <v>14310</v>
      </c>
      <c r="E34" s="21" t="str">
        <f ca="1">TEXT(Table1[[#This Row],[Last Sale Date]],"MMM")</f>
        <v>Jan</v>
      </c>
      <c r="F34" s="27">
        <f ca="1">DATE(2025,11,10) + RANDBETWEEN(0,81)</f>
        <v>46027</v>
      </c>
      <c r="G34" s="49">
        <v>12620</v>
      </c>
      <c r="H34" s="53" t="str">
        <f>TEXT(Table1[[#This Row],[Last Payment Date]],"MMM")</f>
        <v>Jan</v>
      </c>
      <c r="I34" s="28">
        <v>46031</v>
      </c>
      <c r="J34" s="107">
        <f>D34-G34</f>
        <v>1690</v>
      </c>
      <c r="K34" s="21">
        <v>1</v>
      </c>
      <c r="L34" s="21">
        <v>2</v>
      </c>
      <c r="M34" s="34" t="str">
        <f>IF(J34&gt;3000,"Pending","Settled")</f>
        <v>Settled</v>
      </c>
      <c r="N34" s="34" t="str">
        <f>IF(J34&gt;350000,"Critical",
   IF(J34&gt;200000,"Very High",
      IF(J34&gt;100000,"High",
         IF(J34&gt;30000,"Medium","Low"))))</f>
        <v>Low</v>
      </c>
      <c r="O34" s="115">
        <f>DATE(2026,1,30) - Table1[[#This Row],[Last Payment Date]]</f>
        <v>21</v>
      </c>
      <c r="P34" s="23" t="str">
        <f>IF(Table1[[#This Row],[Days Since Last Collection]]&lt;=45,"Active", IF(Table1[[#This Row],[Days Since Last Collection]]&lt;=75,"Moderate","Inactive"))</f>
        <v>Active</v>
      </c>
      <c r="Q34" s="20"/>
    </row>
    <row r="35" spans="1:17" ht="20.100000000000001" customHeight="1">
      <c r="A35" s="39" t="s">
        <v>75</v>
      </c>
      <c r="B35" s="18" t="s">
        <v>285</v>
      </c>
      <c r="C35" s="22" t="s">
        <v>7</v>
      </c>
      <c r="D35" s="49">
        <v>2229100</v>
      </c>
      <c r="E35" s="21" t="str">
        <f ca="1">TEXT(Table1[[#This Row],[Last Sale Date]],"MMM")</f>
        <v>Nov</v>
      </c>
      <c r="F35" s="27">
        <f ca="1">DATE(2025,11,10) + RANDBETWEEN(0,81)</f>
        <v>45977</v>
      </c>
      <c r="G35" s="49">
        <v>1960200</v>
      </c>
      <c r="H35" s="53" t="str">
        <f>TEXT(Table1[[#This Row],[Last Payment Date]],"MMM")</f>
        <v>Nov</v>
      </c>
      <c r="I35" s="28">
        <v>45971</v>
      </c>
      <c r="J35" s="107">
        <f>D35-G35</f>
        <v>268900</v>
      </c>
      <c r="K35" s="21">
        <v>1</v>
      </c>
      <c r="L35" s="21">
        <v>3</v>
      </c>
      <c r="M35" s="34" t="str">
        <f>IF(J35&gt;3000,"Pending","Settled")</f>
        <v>Pending</v>
      </c>
      <c r="N35" s="34" t="str">
        <f>IF(J35&gt;350000,"Critical",
   IF(J35&gt;200000,"Very High",
      IF(J35&gt;100000,"High",
         IF(J35&gt;30000,"Medium","Low"))))</f>
        <v>Very High</v>
      </c>
      <c r="O35" s="115">
        <f>DATE(2026,1,30) - Table1[[#This Row],[Last Payment Date]]</f>
        <v>81</v>
      </c>
      <c r="P35" s="23" t="str">
        <f>IF(Table1[[#This Row],[Days Since Last Collection]]&lt;=45,"Active", IF(Table1[[#This Row],[Days Since Last Collection]]&lt;=75,"Moderate","Inactive"))</f>
        <v>Inactive</v>
      </c>
      <c r="Q35" s="20"/>
    </row>
    <row r="36" spans="1:17" ht="20.100000000000001" customHeight="1">
      <c r="A36" s="39" t="s">
        <v>226</v>
      </c>
      <c r="B36" s="18" t="s">
        <v>286</v>
      </c>
      <c r="C36" s="22" t="s">
        <v>5</v>
      </c>
      <c r="D36" s="49">
        <v>22660</v>
      </c>
      <c r="E36" s="21" t="str">
        <f ca="1">TEXT(Table1[[#This Row],[Last Sale Date]],"MMM")</f>
        <v>Dec</v>
      </c>
      <c r="F36" s="27">
        <f ca="1">DATE(2025,11,10) + RANDBETWEEN(0,81)</f>
        <v>46017</v>
      </c>
      <c r="G36" s="49">
        <v>20000</v>
      </c>
      <c r="H36" s="53" t="str">
        <f>TEXT(Table1[[#This Row],[Last Payment Date]],"MMM")</f>
        <v>Jan</v>
      </c>
      <c r="I36" s="28">
        <v>46049</v>
      </c>
      <c r="J36" s="107">
        <f>D36-G36</f>
        <v>2660</v>
      </c>
      <c r="K36" s="21">
        <v>1</v>
      </c>
      <c r="L36" s="21">
        <v>1</v>
      </c>
      <c r="M36" s="34" t="str">
        <f>IF(J36&gt;3000,"Pending","Settled")</f>
        <v>Settled</v>
      </c>
      <c r="N36" s="34" t="str">
        <f>IF(J36&gt;350000,"Critical",
   IF(J36&gt;200000,"Very High",
      IF(J36&gt;100000,"High",
         IF(J36&gt;30000,"Medium","Low"))))</f>
        <v>Low</v>
      </c>
      <c r="O36" s="115">
        <f>DATE(2026,1,30) - Table1[[#This Row],[Last Payment Date]]</f>
        <v>3</v>
      </c>
      <c r="P36" s="23" t="str">
        <f>IF(Table1[[#This Row],[Days Since Last Collection]]&lt;=45,"Active", IF(Table1[[#This Row],[Days Since Last Collection]]&lt;=75,"Moderate","Inactive"))</f>
        <v>Active</v>
      </c>
      <c r="Q36" s="20"/>
    </row>
    <row r="37" spans="1:17" ht="20.100000000000001" customHeight="1">
      <c r="A37" s="39" t="s">
        <v>122</v>
      </c>
      <c r="B37" s="18" t="s">
        <v>287</v>
      </c>
      <c r="C37" s="22" t="s">
        <v>9</v>
      </c>
      <c r="D37" s="49">
        <v>1882220</v>
      </c>
      <c r="E37" s="21" t="str">
        <f ca="1">TEXT(Table1[[#This Row],[Last Sale Date]],"MMM")</f>
        <v>Dec</v>
      </c>
      <c r="F37" s="27">
        <f ca="1">DATE(2025,11,10) + RANDBETWEEN(0,81)</f>
        <v>46002</v>
      </c>
      <c r="G37" s="49">
        <v>1769940</v>
      </c>
      <c r="H37" s="53" t="str">
        <f>TEXT(Table1[[#This Row],[Last Payment Date]],"MMM")</f>
        <v>Nov</v>
      </c>
      <c r="I37" s="28">
        <v>45980</v>
      </c>
      <c r="J37" s="107">
        <f>D37-G37</f>
        <v>112280</v>
      </c>
      <c r="K37" s="21">
        <v>1</v>
      </c>
      <c r="L37" s="21">
        <v>1</v>
      </c>
      <c r="M37" s="34" t="str">
        <f>IF(J37&gt;3000,"Pending","Settled")</f>
        <v>Pending</v>
      </c>
      <c r="N37" s="34" t="str">
        <f>IF(J37&gt;350000,"Critical",
   IF(J37&gt;200000,"Very High",
      IF(J37&gt;100000,"High",
         IF(J37&gt;30000,"Medium","Low"))))</f>
        <v>High</v>
      </c>
      <c r="O37" s="115">
        <f>DATE(2026,1,30) - Table1[[#This Row],[Last Payment Date]]</f>
        <v>72</v>
      </c>
      <c r="P37" s="23" t="str">
        <f>IF(Table1[[#This Row],[Days Since Last Collection]]&lt;=45,"Active", IF(Table1[[#This Row],[Days Since Last Collection]]&lt;=75,"Moderate","Inactive"))</f>
        <v>Moderate</v>
      </c>
      <c r="Q37" s="20"/>
    </row>
    <row r="38" spans="1:17" ht="20.100000000000001" customHeight="1">
      <c r="A38" s="39" t="s">
        <v>125</v>
      </c>
      <c r="B38" s="18" t="s">
        <v>288</v>
      </c>
      <c r="C38" s="22" t="s">
        <v>6</v>
      </c>
      <c r="D38" s="49">
        <v>1833930</v>
      </c>
      <c r="E38" s="21" t="str">
        <f ca="1">TEXT(Table1[[#This Row],[Last Sale Date]],"MMM")</f>
        <v>Jan</v>
      </c>
      <c r="F38" s="27">
        <f ca="1">DATE(2025,11,10) + RANDBETWEEN(0,81)</f>
        <v>46024</v>
      </c>
      <c r="G38" s="49">
        <v>1727400</v>
      </c>
      <c r="H38" s="53" t="str">
        <f>TEXT(Table1[[#This Row],[Last Payment Date]],"MMM")</f>
        <v>Jan</v>
      </c>
      <c r="I38" s="28">
        <v>46047</v>
      </c>
      <c r="J38" s="107">
        <f>D38-G38</f>
        <v>106530</v>
      </c>
      <c r="K38" s="21">
        <v>2</v>
      </c>
      <c r="L38" s="21">
        <v>1</v>
      </c>
      <c r="M38" s="34" t="str">
        <f>IF(J38&gt;3000,"Pending","Settled")</f>
        <v>Pending</v>
      </c>
      <c r="N38" s="34" t="str">
        <f>IF(J38&gt;350000,"Critical",
   IF(J38&gt;200000,"Very High",
      IF(J38&gt;100000,"High",
         IF(J38&gt;30000,"Medium","Low"))))</f>
        <v>High</v>
      </c>
      <c r="O38" s="115">
        <f>DATE(2026,1,30) - Table1[[#This Row],[Last Payment Date]]</f>
        <v>5</v>
      </c>
      <c r="P38" s="23" t="str">
        <f>IF(Table1[[#This Row],[Days Since Last Collection]]&lt;=45,"Active", IF(Table1[[#This Row],[Days Since Last Collection]]&lt;=75,"Moderate","Inactive"))</f>
        <v>Active</v>
      </c>
      <c r="Q38" s="20"/>
    </row>
    <row r="39" spans="1:17" ht="20.100000000000001" customHeight="1">
      <c r="A39" s="39" t="s">
        <v>220</v>
      </c>
      <c r="B39" s="18" t="s">
        <v>289</v>
      </c>
      <c r="C39" s="22" t="s">
        <v>6</v>
      </c>
      <c r="D39" s="49">
        <v>15600</v>
      </c>
      <c r="E39" s="21" t="str">
        <f ca="1">TEXT(Table1[[#This Row],[Last Sale Date]],"MMM")</f>
        <v>Dec</v>
      </c>
      <c r="F39" s="27">
        <f ca="1">DATE(2025,11,10) + RANDBETWEEN(0,81)</f>
        <v>45993</v>
      </c>
      <c r="G39" s="49">
        <v>12500</v>
      </c>
      <c r="H39" s="53" t="str">
        <f>TEXT(Table1[[#This Row],[Last Payment Date]],"MMM")</f>
        <v>Dec</v>
      </c>
      <c r="I39" s="28">
        <v>45993</v>
      </c>
      <c r="J39" s="107">
        <f>D39-G39</f>
        <v>3100</v>
      </c>
      <c r="K39" s="21">
        <v>2</v>
      </c>
      <c r="L39" s="21">
        <v>3</v>
      </c>
      <c r="M39" s="34" t="str">
        <f>IF(J39&gt;3000,"Pending","Settled")</f>
        <v>Pending</v>
      </c>
      <c r="N39" s="34" t="str">
        <f>IF(J39&gt;350000,"Critical",
   IF(J39&gt;200000,"Very High",
      IF(J39&gt;100000,"High",
         IF(J39&gt;30000,"Medium","Low"))))</f>
        <v>Low</v>
      </c>
      <c r="O39" s="115">
        <f>DATE(2026,1,30) - Table1[[#This Row],[Last Payment Date]]</f>
        <v>59</v>
      </c>
      <c r="P39" s="23" t="str">
        <f>IF(Table1[[#This Row],[Days Since Last Collection]]&lt;=45,"Active", IF(Table1[[#This Row],[Days Since Last Collection]]&lt;=75,"Moderate","Inactive"))</f>
        <v>Moderate</v>
      </c>
      <c r="Q39" s="20"/>
    </row>
    <row r="40" spans="1:17" ht="20.100000000000001" customHeight="1">
      <c r="A40" s="39" t="s">
        <v>192</v>
      </c>
      <c r="B40" s="18" t="s">
        <v>290</v>
      </c>
      <c r="C40" s="22" t="s">
        <v>12</v>
      </c>
      <c r="D40" s="49">
        <v>138860</v>
      </c>
      <c r="E40" s="21" t="str">
        <f ca="1">TEXT(Table1[[#This Row],[Last Sale Date]],"MMM")</f>
        <v>Dec</v>
      </c>
      <c r="F40" s="27">
        <f ca="1">DATE(2025,11,10) + RANDBETWEEN(0,81)</f>
        <v>46019</v>
      </c>
      <c r="G40" s="49">
        <v>126390</v>
      </c>
      <c r="H40" s="53" t="str">
        <f>TEXT(Table1[[#This Row],[Last Payment Date]],"MMM")</f>
        <v>Jan</v>
      </c>
      <c r="I40" s="28">
        <v>46041</v>
      </c>
      <c r="J40" s="107">
        <f>D40-G40</f>
        <v>12470</v>
      </c>
      <c r="K40" s="21">
        <v>6</v>
      </c>
      <c r="L40" s="21">
        <v>4</v>
      </c>
      <c r="M40" s="34" t="str">
        <f>IF(J40&gt;3000,"Pending","Settled")</f>
        <v>Pending</v>
      </c>
      <c r="N40" s="34" t="str">
        <f>IF(J40&gt;350000,"Critical",
   IF(J40&gt;200000,"Very High",
      IF(J40&gt;100000,"High",
         IF(J40&gt;30000,"Medium","Low"))))</f>
        <v>Low</v>
      </c>
      <c r="O40" s="115">
        <f>DATE(2026,1,30) - Table1[[#This Row],[Last Payment Date]]</f>
        <v>11</v>
      </c>
      <c r="P40" s="23" t="str">
        <f>IF(Table1[[#This Row],[Days Since Last Collection]]&lt;=45,"Active", IF(Table1[[#This Row],[Days Since Last Collection]]&lt;=75,"Moderate","Inactive"))</f>
        <v>Active</v>
      </c>
      <c r="Q40" s="20"/>
    </row>
    <row r="41" spans="1:17" ht="20.100000000000001" customHeight="1">
      <c r="A41" s="39" t="s">
        <v>174</v>
      </c>
      <c r="B41" s="18" t="s">
        <v>291</v>
      </c>
      <c r="C41" s="22" t="s">
        <v>12</v>
      </c>
      <c r="D41" s="49">
        <v>157430</v>
      </c>
      <c r="E41" s="21" t="str">
        <f ca="1">TEXT(Table1[[#This Row],[Last Sale Date]],"MMM")</f>
        <v>Nov</v>
      </c>
      <c r="F41" s="27">
        <f ca="1">DATE(2025,11,10) + RANDBETWEEN(0,81)</f>
        <v>45989</v>
      </c>
      <c r="G41" s="49">
        <v>130700</v>
      </c>
      <c r="H41" s="53" t="str">
        <f>TEXT(Table1[[#This Row],[Last Payment Date]],"MMM")</f>
        <v>Dec</v>
      </c>
      <c r="I41" s="28">
        <v>45993</v>
      </c>
      <c r="J41" s="107">
        <f>D41-G41</f>
        <v>26730</v>
      </c>
      <c r="K41" s="21">
        <v>6</v>
      </c>
      <c r="L41" s="21">
        <v>3</v>
      </c>
      <c r="M41" s="34" t="str">
        <f>IF(J41&gt;3000,"Pending","Settled")</f>
        <v>Pending</v>
      </c>
      <c r="N41" s="34" t="str">
        <f>IF(J41&gt;350000,"Critical",
   IF(J41&gt;200000,"Very High",
      IF(J41&gt;100000,"High",
         IF(J41&gt;30000,"Medium","Low"))))</f>
        <v>Low</v>
      </c>
      <c r="O41" s="115">
        <f>DATE(2026,1,30) - Table1[[#This Row],[Last Payment Date]]</f>
        <v>59</v>
      </c>
      <c r="P41" s="23" t="str">
        <f>IF(Table1[[#This Row],[Days Since Last Collection]]&lt;=45,"Active", IF(Table1[[#This Row],[Days Since Last Collection]]&lt;=75,"Moderate","Inactive"))</f>
        <v>Moderate</v>
      </c>
      <c r="Q41" s="20"/>
    </row>
    <row r="42" spans="1:17" ht="20.100000000000001" customHeight="1">
      <c r="A42" s="39" t="s">
        <v>179</v>
      </c>
      <c r="B42" s="18" t="s">
        <v>292</v>
      </c>
      <c r="C42" s="22" t="s">
        <v>12</v>
      </c>
      <c r="D42" s="49">
        <v>243250</v>
      </c>
      <c r="E42" s="21" t="str">
        <f ca="1">TEXT(Table1[[#This Row],[Last Sale Date]],"MMM")</f>
        <v>Nov</v>
      </c>
      <c r="F42" s="27">
        <f ca="1">DATE(2025,11,10) + RANDBETWEEN(0,81)</f>
        <v>45985</v>
      </c>
      <c r="G42" s="49">
        <v>220590</v>
      </c>
      <c r="H42" s="53" t="str">
        <f>TEXT(Table1[[#This Row],[Last Payment Date]],"MMM")</f>
        <v>Nov</v>
      </c>
      <c r="I42" s="28">
        <v>45984</v>
      </c>
      <c r="J42" s="107">
        <f>D42-G42</f>
        <v>22660</v>
      </c>
      <c r="K42" s="21">
        <v>6</v>
      </c>
      <c r="L42" s="21">
        <v>3</v>
      </c>
      <c r="M42" s="34" t="str">
        <f>IF(J42&gt;3000,"Pending","Settled")</f>
        <v>Pending</v>
      </c>
      <c r="N42" s="34" t="str">
        <f>IF(J42&gt;350000,"Critical",
   IF(J42&gt;200000,"Very High",
      IF(J42&gt;100000,"High",
         IF(J42&gt;30000,"Medium","Low"))))</f>
        <v>Low</v>
      </c>
      <c r="O42" s="115">
        <f>DATE(2026,1,30) - Table1[[#This Row],[Last Payment Date]]</f>
        <v>68</v>
      </c>
      <c r="P42" s="23" t="str">
        <f>IF(Table1[[#This Row],[Days Since Last Collection]]&lt;=45,"Active", IF(Table1[[#This Row],[Days Since Last Collection]]&lt;=75,"Moderate","Inactive"))</f>
        <v>Moderate</v>
      </c>
      <c r="Q42" s="20"/>
    </row>
    <row r="43" spans="1:17" ht="20.100000000000001" customHeight="1">
      <c r="A43" s="39" t="s">
        <v>165</v>
      </c>
      <c r="B43" s="18" t="s">
        <v>293</v>
      </c>
      <c r="C43" s="22" t="s">
        <v>12</v>
      </c>
      <c r="D43" s="49">
        <v>245520</v>
      </c>
      <c r="E43" s="21" t="str">
        <f ca="1">TEXT(Table1[[#This Row],[Last Sale Date]],"MMM")</f>
        <v>Jan</v>
      </c>
      <c r="F43" s="27">
        <f ca="1">DATE(2025,11,10) + RANDBETWEEN(0,81)</f>
        <v>46038</v>
      </c>
      <c r="G43" s="49">
        <v>205250</v>
      </c>
      <c r="H43" s="53" t="str">
        <f>TEXT(Table1[[#This Row],[Last Payment Date]],"MMM")</f>
        <v>Jan</v>
      </c>
      <c r="I43" s="28">
        <v>46049</v>
      </c>
      <c r="J43" s="107">
        <f>D43-G43</f>
        <v>40270</v>
      </c>
      <c r="K43" s="21">
        <v>1</v>
      </c>
      <c r="L43" s="21">
        <v>1</v>
      </c>
      <c r="M43" s="34" t="str">
        <f>IF(J43&gt;3000,"Pending","Settled")</f>
        <v>Pending</v>
      </c>
      <c r="N43" s="34" t="str">
        <f>IF(J43&gt;350000,"Critical",
   IF(J43&gt;200000,"Very High",
      IF(J43&gt;100000,"High",
         IF(J43&gt;30000,"Medium","Low"))))</f>
        <v>Medium</v>
      </c>
      <c r="O43" s="115">
        <f>DATE(2026,1,30) - Table1[[#This Row],[Last Payment Date]]</f>
        <v>3</v>
      </c>
      <c r="P43" s="23" t="str">
        <f>IF(Table1[[#This Row],[Days Since Last Collection]]&lt;=45,"Active", IF(Table1[[#This Row],[Days Since Last Collection]]&lt;=75,"Moderate","Inactive"))</f>
        <v>Active</v>
      </c>
      <c r="Q43" s="20"/>
    </row>
    <row r="44" spans="1:17" ht="20.100000000000001" customHeight="1">
      <c r="A44" s="39" t="s">
        <v>197</v>
      </c>
      <c r="B44" s="18" t="s">
        <v>294</v>
      </c>
      <c r="C44" s="22" t="s">
        <v>7</v>
      </c>
      <c r="D44" s="49">
        <v>12890</v>
      </c>
      <c r="E44" s="21" t="str">
        <f ca="1">TEXT(Table1[[#This Row],[Last Sale Date]],"MMM")</f>
        <v>Dec</v>
      </c>
      <c r="F44" s="27">
        <f ca="1">DATE(2025,11,10) + RANDBETWEEN(0,81)</f>
        <v>46009</v>
      </c>
      <c r="G44" s="49">
        <v>2600</v>
      </c>
      <c r="H44" s="53" t="str">
        <f>TEXT(Table1[[#This Row],[Last Payment Date]],"MMM")</f>
        <v>Dec</v>
      </c>
      <c r="I44" s="28">
        <v>46007</v>
      </c>
      <c r="J44" s="107">
        <f>D44-G44</f>
        <v>10290</v>
      </c>
      <c r="K44" s="21">
        <v>1</v>
      </c>
      <c r="L44" s="21">
        <v>1</v>
      </c>
      <c r="M44" s="34" t="str">
        <f>IF(J44&gt;3000,"Pending","Settled")</f>
        <v>Pending</v>
      </c>
      <c r="N44" s="34" t="str">
        <f>IF(J44&gt;350000,"Critical",
   IF(J44&gt;200000,"Very High",
      IF(J44&gt;100000,"High",
         IF(J44&gt;30000,"Medium","Low"))))</f>
        <v>Low</v>
      </c>
      <c r="O44" s="115">
        <f>DATE(2026,1,30) - Table1[[#This Row],[Last Payment Date]]</f>
        <v>45</v>
      </c>
      <c r="P44" s="23" t="str">
        <f>IF(Table1[[#This Row],[Days Since Last Collection]]&lt;=45,"Active", IF(Table1[[#This Row],[Days Since Last Collection]]&lt;=75,"Moderate","Inactive"))</f>
        <v>Active</v>
      </c>
      <c r="Q44" s="20"/>
    </row>
    <row r="45" spans="1:17" ht="20.100000000000001" customHeight="1">
      <c r="A45" s="39" t="s">
        <v>210</v>
      </c>
      <c r="B45" s="18" t="s">
        <v>295</v>
      </c>
      <c r="C45" s="22" t="s">
        <v>6</v>
      </c>
      <c r="D45" s="49">
        <v>16830</v>
      </c>
      <c r="E45" s="21" t="str">
        <f ca="1">TEXT(Table1[[#This Row],[Last Sale Date]],"MMM")</f>
        <v>Jan</v>
      </c>
      <c r="F45" s="27">
        <f ca="1">DATE(2025,11,10) + RANDBETWEEN(0,81)</f>
        <v>46051</v>
      </c>
      <c r="G45" s="49">
        <v>12000</v>
      </c>
      <c r="H45" s="53" t="str">
        <f>TEXT(Table1[[#This Row],[Last Payment Date]],"MMM")</f>
        <v>Jan</v>
      </c>
      <c r="I45" s="28">
        <v>46047</v>
      </c>
      <c r="J45" s="107">
        <f>D45-G45</f>
        <v>4830</v>
      </c>
      <c r="K45" s="21">
        <v>3</v>
      </c>
      <c r="L45" s="21">
        <v>3</v>
      </c>
      <c r="M45" s="34" t="str">
        <f>IF(J45&gt;3000,"Pending","Settled")</f>
        <v>Pending</v>
      </c>
      <c r="N45" s="34" t="str">
        <f>IF(J45&gt;350000,"Critical",
   IF(J45&gt;200000,"Very High",
      IF(J45&gt;100000,"High",
         IF(J45&gt;30000,"Medium","Low"))))</f>
        <v>Low</v>
      </c>
      <c r="O45" s="115">
        <f>DATE(2026,1,30) - Table1[[#This Row],[Last Payment Date]]</f>
        <v>5</v>
      </c>
      <c r="P45" s="23" t="str">
        <f>IF(Table1[[#This Row],[Days Since Last Collection]]&lt;=45,"Active", IF(Table1[[#This Row],[Days Since Last Collection]]&lt;=75,"Moderate","Inactive"))</f>
        <v>Active</v>
      </c>
      <c r="Q45" s="20"/>
    </row>
    <row r="46" spans="1:17" ht="20.100000000000001" customHeight="1">
      <c r="A46" s="39" t="s">
        <v>191</v>
      </c>
      <c r="B46" s="18" t="s">
        <v>296</v>
      </c>
      <c r="C46" s="22" t="s">
        <v>5</v>
      </c>
      <c r="D46" s="49">
        <v>20800</v>
      </c>
      <c r="E46" s="21" t="str">
        <f ca="1">TEXT(Table1[[#This Row],[Last Sale Date]],"MMM")</f>
        <v>Nov</v>
      </c>
      <c r="F46" s="27">
        <f ca="1">DATE(2025,11,10) + RANDBETWEEN(0,81)</f>
        <v>45973</v>
      </c>
      <c r="G46" s="49">
        <v>8000</v>
      </c>
      <c r="H46" s="53" t="str">
        <f>TEXT(Table1[[#This Row],[Last Payment Date]],"MMM")</f>
        <v>Jan</v>
      </c>
      <c r="I46" s="28">
        <v>46038</v>
      </c>
      <c r="J46" s="107">
        <f>D46-G46</f>
        <v>12800</v>
      </c>
      <c r="K46" s="21">
        <v>3</v>
      </c>
      <c r="L46" s="21">
        <v>2</v>
      </c>
      <c r="M46" s="34" t="str">
        <f>IF(J46&gt;3000,"Pending","Settled")</f>
        <v>Pending</v>
      </c>
      <c r="N46" s="34" t="str">
        <f>IF(J46&gt;350000,"Critical",
   IF(J46&gt;200000,"Very High",
      IF(J46&gt;100000,"High",
         IF(J46&gt;30000,"Medium","Low"))))</f>
        <v>Low</v>
      </c>
      <c r="O46" s="115">
        <f>DATE(2026,1,30) - Table1[[#This Row],[Last Payment Date]]</f>
        <v>14</v>
      </c>
      <c r="P46" s="23" t="str">
        <f>IF(Table1[[#This Row],[Days Since Last Collection]]&lt;=45,"Active", IF(Table1[[#This Row],[Days Since Last Collection]]&lt;=75,"Moderate","Inactive"))</f>
        <v>Active</v>
      </c>
      <c r="Q46" s="20"/>
    </row>
    <row r="47" spans="1:17" ht="20.100000000000001" customHeight="1">
      <c r="A47" s="39" t="s">
        <v>135</v>
      </c>
      <c r="B47" s="18" t="s">
        <v>297</v>
      </c>
      <c r="C47" s="22" t="s">
        <v>5</v>
      </c>
      <c r="D47" s="49">
        <v>1279210</v>
      </c>
      <c r="E47" s="21" t="str">
        <f ca="1">TEXT(Table1[[#This Row],[Last Sale Date]],"MMM")</f>
        <v>Nov</v>
      </c>
      <c r="F47" s="27">
        <f ca="1">DATE(2025,11,10) + RANDBETWEEN(0,81)</f>
        <v>45982</v>
      </c>
      <c r="G47" s="49">
        <v>1192920</v>
      </c>
      <c r="H47" s="53" t="str">
        <f>TEXT(Table1[[#This Row],[Last Payment Date]],"MMM")</f>
        <v>Dec</v>
      </c>
      <c r="I47" s="28">
        <v>46002</v>
      </c>
      <c r="J47" s="107">
        <f>D47-G47</f>
        <v>86290</v>
      </c>
      <c r="K47" s="21">
        <v>2</v>
      </c>
      <c r="L47" s="21">
        <v>2</v>
      </c>
      <c r="M47" s="34" t="str">
        <f>IF(J47&gt;3000,"Pending","Settled")</f>
        <v>Pending</v>
      </c>
      <c r="N47" s="34" t="str">
        <f>IF(J47&gt;350000,"Critical",
   IF(J47&gt;200000,"Very High",
      IF(J47&gt;100000,"High",
         IF(J47&gt;30000,"Medium","Low"))))</f>
        <v>Medium</v>
      </c>
      <c r="O47" s="115">
        <f>DATE(2026,1,30) - Table1[[#This Row],[Last Payment Date]]</f>
        <v>50</v>
      </c>
      <c r="P47" s="23" t="str">
        <f>IF(Table1[[#This Row],[Days Since Last Collection]]&lt;=45,"Active", IF(Table1[[#This Row],[Days Since Last Collection]]&lt;=75,"Moderate","Inactive"))</f>
        <v>Moderate</v>
      </c>
      <c r="Q47" s="20"/>
    </row>
    <row r="48" spans="1:17" ht="20.100000000000001" customHeight="1">
      <c r="A48" s="39" t="s">
        <v>182</v>
      </c>
      <c r="B48" s="18" t="s">
        <v>298</v>
      </c>
      <c r="C48" s="22" t="s">
        <v>6</v>
      </c>
      <c r="D48" s="49">
        <v>160060</v>
      </c>
      <c r="E48" s="21" t="str">
        <f ca="1">TEXT(Table1[[#This Row],[Last Sale Date]],"MMM")</f>
        <v>Nov</v>
      </c>
      <c r="F48" s="27">
        <f ca="1">DATE(2025,11,10) + RANDBETWEEN(0,81)</f>
        <v>45971</v>
      </c>
      <c r="G48" s="49">
        <v>141140</v>
      </c>
      <c r="H48" s="53" t="str">
        <f>TEXT(Table1[[#This Row],[Last Payment Date]],"MMM")</f>
        <v>Dec</v>
      </c>
      <c r="I48" s="28">
        <v>46021</v>
      </c>
      <c r="J48" s="107">
        <f>D48-G48</f>
        <v>18920</v>
      </c>
      <c r="K48" s="21">
        <v>11</v>
      </c>
      <c r="L48" s="21">
        <v>7</v>
      </c>
      <c r="M48" s="34" t="str">
        <f>IF(J48&gt;3000,"Pending","Settled")</f>
        <v>Pending</v>
      </c>
      <c r="N48" s="34" t="str">
        <f>IF(J48&gt;350000,"Critical",
   IF(J48&gt;200000,"Very High",
      IF(J48&gt;100000,"High",
         IF(J48&gt;30000,"Medium","Low"))))</f>
        <v>Low</v>
      </c>
      <c r="O48" s="115">
        <f>DATE(2026,1,30) - Table1[[#This Row],[Last Payment Date]]</f>
        <v>31</v>
      </c>
      <c r="P48" s="23" t="str">
        <f>IF(Table1[[#This Row],[Days Since Last Collection]]&lt;=45,"Active", IF(Table1[[#This Row],[Days Since Last Collection]]&lt;=75,"Moderate","Inactive"))</f>
        <v>Active</v>
      </c>
      <c r="Q48" s="20"/>
    </row>
    <row r="49" spans="1:17" ht="20.100000000000001" customHeight="1">
      <c r="A49" s="39" t="s">
        <v>138</v>
      </c>
      <c r="B49" s="18" t="s">
        <v>299</v>
      </c>
      <c r="C49" s="22" t="s">
        <v>5</v>
      </c>
      <c r="D49" s="49">
        <v>87000</v>
      </c>
      <c r="E49" s="21" t="str">
        <f ca="1">TEXT(Table1[[#This Row],[Last Sale Date]],"MMM")</f>
        <v>Dec</v>
      </c>
      <c r="F49" s="27">
        <f ca="1">DATE(2025,11,10) + RANDBETWEEN(0,81)</f>
        <v>46011</v>
      </c>
      <c r="G49" s="49">
        <v>10000</v>
      </c>
      <c r="H49" s="53" t="str">
        <f>TEXT(Table1[[#This Row],[Last Payment Date]],"MMM")</f>
        <v>Nov</v>
      </c>
      <c r="I49" s="28">
        <v>45982</v>
      </c>
      <c r="J49" s="107">
        <f>D49-G49</f>
        <v>77000</v>
      </c>
      <c r="K49" s="21">
        <v>1</v>
      </c>
      <c r="L49" s="21">
        <v>1</v>
      </c>
      <c r="M49" s="34" t="str">
        <f>IF(J49&gt;3000,"Pending","Settled")</f>
        <v>Pending</v>
      </c>
      <c r="N49" s="34" t="str">
        <f>IF(J49&gt;350000,"Critical",
   IF(J49&gt;200000,"Very High",
      IF(J49&gt;100000,"High",
         IF(J49&gt;30000,"Medium","Low"))))</f>
        <v>Medium</v>
      </c>
      <c r="O49" s="115">
        <f>DATE(2026,1,30) - Table1[[#This Row],[Last Payment Date]]</f>
        <v>70</v>
      </c>
      <c r="P49" s="23" t="str">
        <f>IF(Table1[[#This Row],[Days Since Last Collection]]&lt;=45,"Active", IF(Table1[[#This Row],[Days Since Last Collection]]&lt;=75,"Moderate","Inactive"))</f>
        <v>Moderate</v>
      </c>
      <c r="Q49" s="20"/>
    </row>
    <row r="50" spans="1:17" ht="20.100000000000001" customHeight="1">
      <c r="A50" s="39" t="s">
        <v>36</v>
      </c>
      <c r="B50" s="18" t="s">
        <v>300</v>
      </c>
      <c r="C50" s="22" t="s">
        <v>5</v>
      </c>
      <c r="D50" s="49">
        <v>3587000</v>
      </c>
      <c r="E50" s="21" t="str">
        <f ca="1">TEXT(Table1[[#This Row],[Last Sale Date]],"MMM")</f>
        <v>Jan</v>
      </c>
      <c r="F50" s="27">
        <f ca="1">DATE(2025,11,10) + RANDBETWEEN(0,81)</f>
        <v>46035</v>
      </c>
      <c r="G50" s="49">
        <v>2800000</v>
      </c>
      <c r="H50" s="53" t="s">
        <v>30</v>
      </c>
      <c r="I50" s="28">
        <v>46023</v>
      </c>
      <c r="J50" s="107">
        <f>D50-G50</f>
        <v>787000</v>
      </c>
      <c r="K50" s="21">
        <v>1</v>
      </c>
      <c r="L50" s="21">
        <v>2</v>
      </c>
      <c r="M50" s="34" t="str">
        <f>IF(J50&gt;3000,"Pending","Settled")</f>
        <v>Pending</v>
      </c>
      <c r="N50" s="34" t="str">
        <f>IF(J50&gt;350000,"Critical",
   IF(J50&gt;200000,"Very High",
      IF(J50&gt;100000,"High",
         IF(J50&gt;30000,"Medium","Low"))))</f>
        <v>Critical</v>
      </c>
      <c r="O50" s="115">
        <f>DATE(2026,1,30) - Table1[[#This Row],[Last Payment Date]]</f>
        <v>29</v>
      </c>
      <c r="P50" s="23" t="str">
        <f>IF(Table1[[#This Row],[Days Since Last Collection]]&lt;=45,"Active", IF(Table1[[#This Row],[Days Since Last Collection]]&lt;=75,"Moderate","Inactive"))</f>
        <v>Active</v>
      </c>
      <c r="Q50" s="20"/>
    </row>
    <row r="51" spans="1:17" ht="20.100000000000001" customHeight="1">
      <c r="A51" s="39" t="s">
        <v>144</v>
      </c>
      <c r="B51" s="18" t="s">
        <v>301</v>
      </c>
      <c r="C51" s="22" t="s">
        <v>7</v>
      </c>
      <c r="D51" s="49">
        <v>185610</v>
      </c>
      <c r="E51" s="21" t="str">
        <f ca="1">TEXT(Table1[[#This Row],[Last Sale Date]],"MMM")</f>
        <v>Jan</v>
      </c>
      <c r="F51" s="27">
        <f ca="1">DATE(2025,11,10) + RANDBETWEEN(0,81)</f>
        <v>46047</v>
      </c>
      <c r="G51" s="49">
        <v>115000</v>
      </c>
      <c r="H51" s="53" t="str">
        <f>TEXT(Table1[[#This Row],[Last Payment Date]],"MMM")</f>
        <v>Jan</v>
      </c>
      <c r="I51" s="28">
        <v>46029</v>
      </c>
      <c r="J51" s="107">
        <f>D51-G51</f>
        <v>70610</v>
      </c>
      <c r="K51" s="21">
        <v>2</v>
      </c>
      <c r="L51" s="21">
        <v>3</v>
      </c>
      <c r="M51" s="34" t="str">
        <f>IF(J51&gt;3000,"Pending","Settled")</f>
        <v>Pending</v>
      </c>
      <c r="N51" s="34" t="str">
        <f>IF(J51&gt;350000,"Critical",
   IF(J51&gt;200000,"Very High",
      IF(J51&gt;100000,"High",
         IF(J51&gt;30000,"Medium","Low"))))</f>
        <v>Medium</v>
      </c>
      <c r="O51" s="115">
        <f>DATE(2026,1,30) - Table1[[#This Row],[Last Payment Date]]</f>
        <v>23</v>
      </c>
      <c r="P51" s="23" t="str">
        <f>IF(Table1[[#This Row],[Days Since Last Collection]]&lt;=45,"Active", IF(Table1[[#This Row],[Days Since Last Collection]]&lt;=75,"Moderate","Inactive"))</f>
        <v>Active</v>
      </c>
      <c r="Q51" s="20"/>
    </row>
    <row r="52" spans="1:17" ht="20.100000000000001" customHeight="1">
      <c r="A52" s="39" t="s">
        <v>54</v>
      </c>
      <c r="B52" s="18" t="s">
        <v>302</v>
      </c>
      <c r="C52" s="22" t="s">
        <v>4</v>
      </c>
      <c r="D52" s="49">
        <v>1724520</v>
      </c>
      <c r="E52" s="21" t="str">
        <f ca="1">TEXT(Table1[[#This Row],[Last Sale Date]],"MMM")</f>
        <v>Dec</v>
      </c>
      <c r="F52" s="27">
        <f ca="1">DATE(2025,11,10) + RANDBETWEEN(0,81)</f>
        <v>46001</v>
      </c>
      <c r="G52" s="49">
        <v>1375200</v>
      </c>
      <c r="H52" s="53" t="str">
        <f>TEXT(Table1[[#This Row],[Last Payment Date]],"MMM")</f>
        <v>Dec</v>
      </c>
      <c r="I52" s="28">
        <v>45996</v>
      </c>
      <c r="J52" s="107">
        <f>D52-G52</f>
        <v>349320</v>
      </c>
      <c r="K52" s="21">
        <v>5</v>
      </c>
      <c r="L52" s="21">
        <v>3</v>
      </c>
      <c r="M52" s="34" t="str">
        <f>IF(J52&gt;3000,"Pending","Settled")</f>
        <v>Pending</v>
      </c>
      <c r="N52" s="34" t="str">
        <f>IF(J52&gt;350000,"Critical",
   IF(J52&gt;200000,"Very High",
      IF(J52&gt;100000,"High",
         IF(J52&gt;30000,"Medium","Low"))))</f>
        <v>Very High</v>
      </c>
      <c r="O52" s="115">
        <f>DATE(2026,1,30) - Table1[[#This Row],[Last Payment Date]]</f>
        <v>56</v>
      </c>
      <c r="P52" s="23" t="str">
        <f>IF(Table1[[#This Row],[Days Since Last Collection]]&lt;=45,"Active", IF(Table1[[#This Row],[Days Since Last Collection]]&lt;=75,"Moderate","Inactive"))</f>
        <v>Moderate</v>
      </c>
      <c r="Q52" s="20"/>
    </row>
    <row r="53" spans="1:17" ht="20.100000000000001" customHeight="1">
      <c r="A53" s="39" t="s">
        <v>46</v>
      </c>
      <c r="B53" s="18" t="s">
        <v>303</v>
      </c>
      <c r="C53" s="22" t="s">
        <v>9</v>
      </c>
      <c r="D53" s="49">
        <v>1122570</v>
      </c>
      <c r="E53" s="21" t="str">
        <f ca="1">TEXT(Table1[[#This Row],[Last Sale Date]],"MMM")</f>
        <v>Dec</v>
      </c>
      <c r="F53" s="27">
        <f ca="1">DATE(2025,11,10) + RANDBETWEEN(0,81)</f>
        <v>46017</v>
      </c>
      <c r="G53" s="49">
        <v>714630</v>
      </c>
      <c r="H53" s="53" t="str">
        <f>TEXT(Table1[[#This Row],[Last Payment Date]],"MMM")</f>
        <v>Jan</v>
      </c>
      <c r="I53" s="28">
        <v>46048</v>
      </c>
      <c r="J53" s="107">
        <f>D53-G53</f>
        <v>407940</v>
      </c>
      <c r="K53" s="21">
        <v>6</v>
      </c>
      <c r="L53" s="21">
        <v>4</v>
      </c>
      <c r="M53" s="34" t="str">
        <f>IF(J53&gt;3000,"Pending","Settled")</f>
        <v>Pending</v>
      </c>
      <c r="N53" s="34" t="str">
        <f>IF(J53&gt;350000,"Critical",
   IF(J53&gt;200000,"Very High",
      IF(J53&gt;100000,"High",
         IF(J53&gt;30000,"Medium","Low"))))</f>
        <v>Critical</v>
      </c>
      <c r="O53" s="115">
        <f>DATE(2026,1,30) - Table1[[#This Row],[Last Payment Date]]</f>
        <v>4</v>
      </c>
      <c r="P53" s="23" t="str">
        <f>IF(Table1[[#This Row],[Days Since Last Collection]]&lt;=45,"Active", IF(Table1[[#This Row],[Days Since Last Collection]]&lt;=75,"Moderate","Inactive"))</f>
        <v>Active</v>
      </c>
      <c r="Q53" s="20"/>
    </row>
    <row r="54" spans="1:17" ht="20.100000000000001" customHeight="1">
      <c r="A54" s="39" t="s">
        <v>169</v>
      </c>
      <c r="B54" s="18" t="s">
        <v>304</v>
      </c>
      <c r="C54" s="22" t="s">
        <v>6</v>
      </c>
      <c r="D54" s="49">
        <v>164400</v>
      </c>
      <c r="E54" s="21" t="str">
        <f ca="1">TEXT(Table1[[#This Row],[Last Sale Date]],"MMM")</f>
        <v>Dec</v>
      </c>
      <c r="F54" s="27">
        <f ca="1">DATE(2025,11,10) + RANDBETWEEN(0,81)</f>
        <v>46020</v>
      </c>
      <c r="G54" s="49">
        <v>135400</v>
      </c>
      <c r="H54" s="53" t="str">
        <f>TEXT(Table1[[#This Row],[Last Payment Date]],"MMM")</f>
        <v>Jan</v>
      </c>
      <c r="I54" s="28">
        <v>46051</v>
      </c>
      <c r="J54" s="107">
        <f>D54-G54</f>
        <v>29000</v>
      </c>
      <c r="K54" s="21">
        <v>3</v>
      </c>
      <c r="L54" s="21">
        <v>1</v>
      </c>
      <c r="M54" s="34" t="str">
        <f>IF(J54&gt;3000,"Pending","Settled")</f>
        <v>Pending</v>
      </c>
      <c r="N54" s="34" t="str">
        <f>IF(J54&gt;350000,"Critical",
   IF(J54&gt;200000,"Very High",
      IF(J54&gt;100000,"High",
         IF(J54&gt;30000,"Medium","Low"))))</f>
        <v>Low</v>
      </c>
      <c r="O54" s="115">
        <f>DATE(2026,1,30) - Table1[[#This Row],[Last Payment Date]]</f>
        <v>1</v>
      </c>
      <c r="P54" s="23" t="str">
        <f>IF(Table1[[#This Row],[Days Since Last Collection]]&lt;=45,"Active", IF(Table1[[#This Row],[Days Since Last Collection]]&lt;=75,"Moderate","Inactive"))</f>
        <v>Active</v>
      </c>
      <c r="Q54" s="20"/>
    </row>
    <row r="55" spans="1:17" ht="20.100000000000001" customHeight="1">
      <c r="A55" s="39" t="s">
        <v>161</v>
      </c>
      <c r="B55" s="18" t="s">
        <v>305</v>
      </c>
      <c r="C55" s="22" t="s">
        <v>12</v>
      </c>
      <c r="D55" s="49">
        <v>227450</v>
      </c>
      <c r="E55" s="21" t="str">
        <f ca="1">TEXT(Table1[[#This Row],[Last Sale Date]],"MMM")</f>
        <v>Nov</v>
      </c>
      <c r="F55" s="27">
        <f ca="1">DATE(2025,11,10) + RANDBETWEEN(0,81)</f>
        <v>45981</v>
      </c>
      <c r="G55" s="49">
        <v>179950</v>
      </c>
      <c r="H55" s="53" t="str">
        <f>TEXT(Table1[[#This Row],[Last Payment Date]],"MMM")</f>
        <v>Jan</v>
      </c>
      <c r="I55" s="28">
        <v>46052</v>
      </c>
      <c r="J55" s="107">
        <f>D55-G55</f>
        <v>47500</v>
      </c>
      <c r="K55" s="21">
        <v>1</v>
      </c>
      <c r="L55" s="21">
        <v>4</v>
      </c>
      <c r="M55" s="34" t="str">
        <f>IF(J55&gt;3000,"Pending","Settled")</f>
        <v>Pending</v>
      </c>
      <c r="N55" s="34" t="str">
        <f>IF(J55&gt;350000,"Critical",
   IF(J55&gt;200000,"Very High",
      IF(J55&gt;100000,"High",
         IF(J55&gt;30000,"Medium","Low"))))</f>
        <v>Medium</v>
      </c>
      <c r="O55" s="115">
        <f>DATE(2026,1,30) - Table1[[#This Row],[Last Payment Date]]</f>
        <v>0</v>
      </c>
      <c r="P55" s="23" t="str">
        <f>IF(Table1[[#This Row],[Days Since Last Collection]]&lt;=45,"Active", IF(Table1[[#This Row],[Days Since Last Collection]]&lt;=75,"Moderate","Inactive"))</f>
        <v>Active</v>
      </c>
      <c r="Q55" s="20"/>
    </row>
    <row r="56" spans="1:17" ht="20.100000000000001" customHeight="1">
      <c r="A56" s="39" t="s">
        <v>65</v>
      </c>
      <c r="B56" s="18" t="s">
        <v>306</v>
      </c>
      <c r="C56" s="22" t="s">
        <v>4</v>
      </c>
      <c r="D56" s="49">
        <v>1645230</v>
      </c>
      <c r="E56" s="21" t="str">
        <f ca="1">TEXT(Table1[[#This Row],[Last Sale Date]],"MMM")</f>
        <v>Dec</v>
      </c>
      <c r="F56" s="27">
        <f ca="1">DATE(2025,11,10) + RANDBETWEEN(0,81)</f>
        <v>46016</v>
      </c>
      <c r="G56" s="49">
        <v>1336720</v>
      </c>
      <c r="H56" s="53" t="str">
        <f>TEXT(Table1[[#This Row],[Last Payment Date]],"MMM")</f>
        <v>Dec</v>
      </c>
      <c r="I56" s="28">
        <v>45999</v>
      </c>
      <c r="J56" s="107">
        <f>D56-G56</f>
        <v>308510</v>
      </c>
      <c r="K56" s="21">
        <v>4</v>
      </c>
      <c r="L56" s="21">
        <v>2</v>
      </c>
      <c r="M56" s="34" t="str">
        <f>IF(J56&gt;3000,"Pending","Settled")</f>
        <v>Pending</v>
      </c>
      <c r="N56" s="34" t="str">
        <f>IF(J56&gt;350000,"Critical",
   IF(J56&gt;200000,"Very High",
      IF(J56&gt;100000,"High",
         IF(J56&gt;30000,"Medium","Low"))))</f>
        <v>Very High</v>
      </c>
      <c r="O56" s="115">
        <f>DATE(2026,1,30) - Table1[[#This Row],[Last Payment Date]]</f>
        <v>53</v>
      </c>
      <c r="P56" s="23" t="str">
        <f>IF(Table1[[#This Row],[Days Since Last Collection]]&lt;=45,"Active", IF(Table1[[#This Row],[Days Since Last Collection]]&lt;=75,"Moderate","Inactive"))</f>
        <v>Moderate</v>
      </c>
      <c r="Q56" s="20"/>
    </row>
    <row r="57" spans="1:17" ht="20.100000000000001" customHeight="1">
      <c r="A57" s="39" t="s">
        <v>108</v>
      </c>
      <c r="B57" s="18" t="s">
        <v>307</v>
      </c>
      <c r="C57" s="22" t="s">
        <v>4</v>
      </c>
      <c r="D57" s="49">
        <v>2196560</v>
      </c>
      <c r="E57" s="21" t="str">
        <f ca="1">TEXT(Table1[[#This Row],[Last Sale Date]],"MMM")</f>
        <v>Dec</v>
      </c>
      <c r="F57" s="27">
        <f ca="1">DATE(2025,11,10) + RANDBETWEEN(0,81)</f>
        <v>46012</v>
      </c>
      <c r="G57" s="49">
        <v>2047430</v>
      </c>
      <c r="H57" s="53" t="str">
        <f>TEXT(Table1[[#This Row],[Last Payment Date]],"MMM")</f>
        <v>Dec</v>
      </c>
      <c r="I57" s="28">
        <v>46020</v>
      </c>
      <c r="J57" s="107">
        <f>D57-G57</f>
        <v>149130</v>
      </c>
      <c r="K57" s="21">
        <v>6</v>
      </c>
      <c r="L57" s="21">
        <v>3</v>
      </c>
      <c r="M57" s="34" t="str">
        <f>IF(J57&gt;3000,"Pending","Settled")</f>
        <v>Pending</v>
      </c>
      <c r="N57" s="34" t="str">
        <f>IF(J57&gt;350000,"Critical",
   IF(J57&gt;200000,"Very High",
      IF(J57&gt;100000,"High",
         IF(J57&gt;30000,"Medium","Low"))))</f>
        <v>High</v>
      </c>
      <c r="O57" s="115">
        <f>DATE(2026,1,30) - Table1[[#This Row],[Last Payment Date]]</f>
        <v>32</v>
      </c>
      <c r="P57" s="23" t="str">
        <f>IF(Table1[[#This Row],[Days Since Last Collection]]&lt;=45,"Active", IF(Table1[[#This Row],[Days Since Last Collection]]&lt;=75,"Moderate","Inactive"))</f>
        <v>Active</v>
      </c>
      <c r="Q57" s="20"/>
    </row>
    <row r="58" spans="1:17" ht="20.100000000000001" customHeight="1">
      <c r="A58" s="39" t="s">
        <v>105</v>
      </c>
      <c r="B58" s="18" t="s">
        <v>308</v>
      </c>
      <c r="C58" s="22" t="s">
        <v>7</v>
      </c>
      <c r="D58" s="49">
        <v>2326920</v>
      </c>
      <c r="E58" s="21" t="str">
        <f ca="1">TEXT(Table1[[#This Row],[Last Sale Date]],"MMM")</f>
        <v>Nov</v>
      </c>
      <c r="F58" s="27">
        <f ca="1">DATE(2025,11,10) + RANDBETWEEN(0,81)</f>
        <v>45986</v>
      </c>
      <c r="G58" s="49">
        <v>2171320</v>
      </c>
      <c r="H58" s="53" t="str">
        <f>TEXT(Table1[[#This Row],[Last Payment Date]],"MMM")</f>
        <v>Dec</v>
      </c>
      <c r="I58" s="28">
        <v>45993</v>
      </c>
      <c r="J58" s="107">
        <f>D58-G58</f>
        <v>155600</v>
      </c>
      <c r="K58" s="21">
        <v>11</v>
      </c>
      <c r="L58" s="21">
        <v>14</v>
      </c>
      <c r="M58" s="34" t="str">
        <f>IF(J58&gt;3000,"Pending","Settled")</f>
        <v>Pending</v>
      </c>
      <c r="N58" s="34" t="str">
        <f>IF(J58&gt;350000,"Critical",
   IF(J58&gt;200000,"Very High",
      IF(J58&gt;100000,"High",
         IF(J58&gt;30000,"Medium","Low"))))</f>
        <v>High</v>
      </c>
      <c r="O58" s="115">
        <f>DATE(2026,1,30) - Table1[[#This Row],[Last Payment Date]]</f>
        <v>59</v>
      </c>
      <c r="P58" s="23" t="str">
        <f>IF(Table1[[#This Row],[Days Since Last Collection]]&lt;=45,"Active", IF(Table1[[#This Row],[Days Since Last Collection]]&lt;=75,"Moderate","Inactive"))</f>
        <v>Moderate</v>
      </c>
      <c r="Q58" s="20"/>
    </row>
    <row r="59" spans="1:17" ht="20.100000000000001" customHeight="1">
      <c r="A59" s="39" t="s">
        <v>55</v>
      </c>
      <c r="B59" s="18" t="s">
        <v>309</v>
      </c>
      <c r="C59" s="22" t="s">
        <v>6</v>
      </c>
      <c r="D59" s="49">
        <v>1919020</v>
      </c>
      <c r="E59" s="21" t="str">
        <f ca="1">TEXT(Table1[[#This Row],[Last Sale Date]],"MMM")</f>
        <v>Jan</v>
      </c>
      <c r="F59" s="27">
        <f ca="1">DATE(2025,11,10) + RANDBETWEEN(0,81)</f>
        <v>46030</v>
      </c>
      <c r="G59" s="49">
        <v>1577220</v>
      </c>
      <c r="H59" s="53" t="str">
        <f>TEXT(Table1[[#This Row],[Last Payment Date]],"MMM")</f>
        <v>Dec</v>
      </c>
      <c r="I59" s="28">
        <v>46012</v>
      </c>
      <c r="J59" s="107">
        <f>D59-G59</f>
        <v>341800</v>
      </c>
      <c r="K59" s="21">
        <v>7</v>
      </c>
      <c r="L59" s="21">
        <v>11</v>
      </c>
      <c r="M59" s="34" t="str">
        <f>IF(J59&gt;3000,"Pending","Settled")</f>
        <v>Pending</v>
      </c>
      <c r="N59" s="34" t="str">
        <f>IF(J59&gt;350000,"Critical",
   IF(J59&gt;200000,"Very High",
      IF(J59&gt;100000,"High",
         IF(J59&gt;30000,"Medium","Low"))))</f>
        <v>Very High</v>
      </c>
      <c r="O59" s="115">
        <f>DATE(2026,1,30) - Table1[[#This Row],[Last Payment Date]]</f>
        <v>40</v>
      </c>
      <c r="P59" s="23" t="str">
        <f>IF(Table1[[#This Row],[Days Since Last Collection]]&lt;=45,"Active", IF(Table1[[#This Row],[Days Since Last Collection]]&lt;=75,"Moderate","Inactive"))</f>
        <v>Active</v>
      </c>
      <c r="Q59" s="20"/>
    </row>
    <row r="60" spans="1:17" ht="20.100000000000001" customHeight="1">
      <c r="A60" s="39" t="s">
        <v>94</v>
      </c>
      <c r="B60" s="18" t="s">
        <v>310</v>
      </c>
      <c r="C60" s="22" t="s">
        <v>5</v>
      </c>
      <c r="D60" s="49">
        <v>1566020</v>
      </c>
      <c r="E60" s="21" t="str">
        <f ca="1">TEXT(Table1[[#This Row],[Last Sale Date]],"MMM")</f>
        <v>Jan</v>
      </c>
      <c r="F60" s="27">
        <f ca="1">DATE(2025,11,10) + RANDBETWEEN(0,81)</f>
        <v>46031</v>
      </c>
      <c r="G60" s="49">
        <v>1370740</v>
      </c>
      <c r="H60" s="53" t="str">
        <f>TEXT(Table1[[#This Row],[Last Payment Date]],"MMM")</f>
        <v>Jan</v>
      </c>
      <c r="I60" s="28">
        <v>46046</v>
      </c>
      <c r="J60" s="107">
        <f>D60-G60</f>
        <v>195280</v>
      </c>
      <c r="K60" s="21">
        <v>3</v>
      </c>
      <c r="L60" s="21">
        <v>2</v>
      </c>
      <c r="M60" s="34" t="str">
        <f>IF(J60&gt;3000,"Pending","Settled")</f>
        <v>Pending</v>
      </c>
      <c r="N60" s="34" t="str">
        <f>IF(J60&gt;350000,"Critical",
   IF(J60&gt;200000,"Very High",
      IF(J60&gt;100000,"High",
         IF(J60&gt;30000,"Medium","Low"))))</f>
        <v>High</v>
      </c>
      <c r="O60" s="115">
        <f>DATE(2026,1,30) - Table1[[#This Row],[Last Payment Date]]</f>
        <v>6</v>
      </c>
      <c r="P60" s="23" t="str">
        <f>IF(Table1[[#This Row],[Days Since Last Collection]]&lt;=45,"Active", IF(Table1[[#This Row],[Days Since Last Collection]]&lt;=75,"Moderate","Inactive"))</f>
        <v>Active</v>
      </c>
      <c r="Q60" s="20"/>
    </row>
    <row r="61" spans="1:17" ht="20.100000000000001" customHeight="1">
      <c r="A61" s="39" t="s">
        <v>227</v>
      </c>
      <c r="B61" s="18" t="s">
        <v>311</v>
      </c>
      <c r="C61" s="22" t="s">
        <v>12</v>
      </c>
      <c r="D61" s="49">
        <v>12510</v>
      </c>
      <c r="E61" s="21" t="str">
        <f ca="1">TEXT(Table1[[#This Row],[Last Sale Date]],"MMM")</f>
        <v>Nov</v>
      </c>
      <c r="F61" s="27">
        <f ca="1">DATE(2025,11,10) + RANDBETWEEN(0,81)</f>
        <v>45982</v>
      </c>
      <c r="G61" s="49">
        <v>9890</v>
      </c>
      <c r="H61" s="53" t="str">
        <f>TEXT(Table1[[#This Row],[Last Payment Date]],"MMM")</f>
        <v>Dec</v>
      </c>
      <c r="I61" s="28">
        <v>46015</v>
      </c>
      <c r="J61" s="107">
        <f>D61-G61</f>
        <v>2620</v>
      </c>
      <c r="K61" s="21">
        <v>4</v>
      </c>
      <c r="L61" s="21">
        <v>3</v>
      </c>
      <c r="M61" s="34" t="str">
        <f>IF(J61&gt;3000,"Pending","Settled")</f>
        <v>Settled</v>
      </c>
      <c r="N61" s="34" t="str">
        <f>IF(J61&gt;350000,"Critical",
   IF(J61&gt;200000,"Very High",
      IF(J61&gt;100000,"High",
         IF(J61&gt;30000,"Medium","Low"))))</f>
        <v>Low</v>
      </c>
      <c r="O61" s="115">
        <f>DATE(2026,1,30) - Table1[[#This Row],[Last Payment Date]]</f>
        <v>37</v>
      </c>
      <c r="P61" s="23" t="str">
        <f>IF(Table1[[#This Row],[Days Since Last Collection]]&lt;=45,"Active", IF(Table1[[#This Row],[Days Since Last Collection]]&lt;=75,"Moderate","Inactive"))</f>
        <v>Active</v>
      </c>
      <c r="Q61" s="20"/>
    </row>
    <row r="62" spans="1:17" ht="20.100000000000001" customHeight="1">
      <c r="A62" s="39" t="s">
        <v>214</v>
      </c>
      <c r="B62" s="18" t="s">
        <v>312</v>
      </c>
      <c r="C62" s="22" t="s">
        <v>6</v>
      </c>
      <c r="D62" s="49">
        <v>19540</v>
      </c>
      <c r="E62" s="21" t="str">
        <f ca="1">TEXT(Table1[[#This Row],[Last Sale Date]],"MMM")</f>
        <v>Jan</v>
      </c>
      <c r="F62" s="27">
        <f ca="1">DATE(2025,11,10) + RANDBETWEEN(0,81)</f>
        <v>46024</v>
      </c>
      <c r="G62" s="49">
        <v>16000</v>
      </c>
      <c r="H62" s="53" t="str">
        <f>TEXT(Table1[[#This Row],[Last Payment Date]],"MMM")</f>
        <v>Jan</v>
      </c>
      <c r="I62" s="28">
        <v>46045</v>
      </c>
      <c r="J62" s="107">
        <f>D62-G62</f>
        <v>3540</v>
      </c>
      <c r="K62" s="21">
        <v>2</v>
      </c>
      <c r="L62" s="21">
        <v>4</v>
      </c>
      <c r="M62" s="34" t="str">
        <f>IF(J62&gt;3000,"Pending","Settled")</f>
        <v>Pending</v>
      </c>
      <c r="N62" s="34" t="str">
        <f>IF(J62&gt;350000,"Critical",
   IF(J62&gt;200000,"Very High",
      IF(J62&gt;100000,"High",
         IF(J62&gt;30000,"Medium","Low"))))</f>
        <v>Low</v>
      </c>
      <c r="O62" s="115">
        <f>DATE(2026,1,30) - Table1[[#This Row],[Last Payment Date]]</f>
        <v>7</v>
      </c>
      <c r="P62" s="23" t="str">
        <f>IF(Table1[[#This Row],[Days Since Last Collection]]&lt;=45,"Active", IF(Table1[[#This Row],[Days Since Last Collection]]&lt;=75,"Moderate","Inactive"))</f>
        <v>Active</v>
      </c>
      <c r="Q62" s="20"/>
    </row>
    <row r="63" spans="1:17" ht="20.100000000000001" customHeight="1">
      <c r="A63" s="39" t="s">
        <v>136</v>
      </c>
      <c r="B63" s="18" t="s">
        <v>313</v>
      </c>
      <c r="C63" s="22" t="s">
        <v>6</v>
      </c>
      <c r="D63" s="49">
        <v>97890</v>
      </c>
      <c r="E63" s="21" t="str">
        <f ca="1">TEXT(Table1[[#This Row],[Last Sale Date]],"MMM")</f>
        <v>Dec</v>
      </c>
      <c r="F63" s="27">
        <f ca="1">DATE(2025,11,10) + RANDBETWEEN(0,81)</f>
        <v>46007</v>
      </c>
      <c r="G63" s="49">
        <v>15000</v>
      </c>
      <c r="H63" s="53" t="str">
        <f>TEXT(Table1[[#This Row],[Last Payment Date]],"MMM")</f>
        <v>Jan</v>
      </c>
      <c r="I63" s="28">
        <v>46041</v>
      </c>
      <c r="J63" s="107">
        <f>D63-G63</f>
        <v>82890</v>
      </c>
      <c r="K63" s="21">
        <v>3</v>
      </c>
      <c r="L63" s="21">
        <v>1</v>
      </c>
      <c r="M63" s="34" t="str">
        <f>IF(J63&gt;3000,"Pending","Settled")</f>
        <v>Pending</v>
      </c>
      <c r="N63" s="34" t="str">
        <f>IF(J63&gt;350000,"Critical",
   IF(J63&gt;200000,"Very High",
      IF(J63&gt;100000,"High",
         IF(J63&gt;30000,"Medium","Low"))))</f>
        <v>Medium</v>
      </c>
      <c r="O63" s="115">
        <f>DATE(2026,1,30) - Table1[[#This Row],[Last Payment Date]]</f>
        <v>11</v>
      </c>
      <c r="P63" s="23" t="str">
        <f>IF(Table1[[#This Row],[Days Since Last Collection]]&lt;=45,"Active", IF(Table1[[#This Row],[Days Since Last Collection]]&lt;=75,"Moderate","Inactive"))</f>
        <v>Active</v>
      </c>
      <c r="Q63" s="20"/>
    </row>
    <row r="64" spans="1:17" ht="20.100000000000001" customHeight="1">
      <c r="A64" s="39" t="s">
        <v>47</v>
      </c>
      <c r="B64" s="18" t="s">
        <v>314</v>
      </c>
      <c r="C64" s="22" t="s">
        <v>7</v>
      </c>
      <c r="D64" s="49">
        <v>1639830</v>
      </c>
      <c r="E64" s="21" t="str">
        <f ca="1">TEXT(Table1[[#This Row],[Last Sale Date]],"MMM")</f>
        <v>Dec</v>
      </c>
      <c r="F64" s="27">
        <f ca="1">DATE(2025,11,10) + RANDBETWEEN(0,81)</f>
        <v>46022</v>
      </c>
      <c r="G64" s="49">
        <v>1247130</v>
      </c>
      <c r="H64" s="53" t="str">
        <f>TEXT(Table1[[#This Row],[Last Payment Date]],"MMM")</f>
        <v>Dec</v>
      </c>
      <c r="I64" s="28">
        <v>46006</v>
      </c>
      <c r="J64" s="107">
        <f>D64-G64</f>
        <v>392700</v>
      </c>
      <c r="K64" s="21">
        <v>5</v>
      </c>
      <c r="L64" s="21">
        <v>3</v>
      </c>
      <c r="M64" s="34" t="str">
        <f>IF(J64&gt;3000,"Pending","Settled")</f>
        <v>Pending</v>
      </c>
      <c r="N64" s="34" t="str">
        <f>IF(J64&gt;350000,"Critical",
   IF(J64&gt;200000,"Very High",
      IF(J64&gt;100000,"High",
         IF(J64&gt;30000,"Medium","Low"))))</f>
        <v>Critical</v>
      </c>
      <c r="O64" s="115">
        <f>DATE(2026,1,30) - Table1[[#This Row],[Last Payment Date]]</f>
        <v>46</v>
      </c>
      <c r="P64" s="23" t="str">
        <f>IF(Table1[[#This Row],[Days Since Last Collection]]&lt;=45,"Active", IF(Table1[[#This Row],[Days Since Last Collection]]&lt;=75,"Moderate","Inactive"))</f>
        <v>Moderate</v>
      </c>
      <c r="Q64" s="20"/>
    </row>
    <row r="65" spans="1:17" ht="20.100000000000001" customHeight="1">
      <c r="A65" s="39" t="s">
        <v>164</v>
      </c>
      <c r="B65" s="18" t="s">
        <v>315</v>
      </c>
      <c r="C65" s="22" t="s">
        <v>5</v>
      </c>
      <c r="D65" s="49">
        <v>212430</v>
      </c>
      <c r="E65" s="21" t="str">
        <f ca="1">TEXT(Table1[[#This Row],[Last Sale Date]],"MMM")</f>
        <v>Dec</v>
      </c>
      <c r="F65" s="27">
        <f ca="1">DATE(2025,11,10) + RANDBETWEEN(0,81)</f>
        <v>45993</v>
      </c>
      <c r="G65" s="49">
        <v>171970</v>
      </c>
      <c r="H65" s="53" t="str">
        <f>TEXT(Table1[[#This Row],[Last Payment Date]],"MMM")</f>
        <v>Dec</v>
      </c>
      <c r="I65" s="28">
        <v>46008</v>
      </c>
      <c r="J65" s="107">
        <f>D65-G65</f>
        <v>40460</v>
      </c>
      <c r="K65" s="21">
        <v>7</v>
      </c>
      <c r="L65" s="21">
        <v>5</v>
      </c>
      <c r="M65" s="34" t="str">
        <f>IF(J65&gt;3000,"Pending","Settled")</f>
        <v>Pending</v>
      </c>
      <c r="N65" s="34" t="str">
        <f>IF(J65&gt;350000,"Critical",
   IF(J65&gt;200000,"Very High",
      IF(J65&gt;100000,"High",
         IF(J65&gt;30000,"Medium","Low"))))</f>
        <v>Medium</v>
      </c>
      <c r="O65" s="115">
        <f>DATE(2026,1,30) - Table1[[#This Row],[Last Payment Date]]</f>
        <v>44</v>
      </c>
      <c r="P65" s="23" t="str">
        <f>IF(Table1[[#This Row],[Days Since Last Collection]]&lt;=45,"Active", IF(Table1[[#This Row],[Days Since Last Collection]]&lt;=75,"Moderate","Inactive"))</f>
        <v>Active</v>
      </c>
      <c r="Q65" s="20"/>
    </row>
    <row r="66" spans="1:17" ht="20.100000000000001" customHeight="1">
      <c r="A66" s="39" t="s">
        <v>143</v>
      </c>
      <c r="B66" s="18" t="s">
        <v>316</v>
      </c>
      <c r="C66" s="22" t="s">
        <v>5</v>
      </c>
      <c r="D66" s="49">
        <v>2464670</v>
      </c>
      <c r="E66" s="21" t="str">
        <f ca="1">TEXT(Table1[[#This Row],[Last Sale Date]],"MMM")</f>
        <v>Nov</v>
      </c>
      <c r="F66" s="27">
        <f ca="1">DATE(2025,11,10) + RANDBETWEEN(0,81)</f>
        <v>45979</v>
      </c>
      <c r="G66" s="49">
        <v>2393830</v>
      </c>
      <c r="H66" s="53" t="str">
        <f>TEXT(Table1[[#This Row],[Last Payment Date]],"MMM")</f>
        <v>Jan</v>
      </c>
      <c r="I66" s="28">
        <v>46033</v>
      </c>
      <c r="J66" s="107">
        <f>D66-G66</f>
        <v>70840</v>
      </c>
      <c r="K66" s="21">
        <v>5</v>
      </c>
      <c r="L66" s="21">
        <v>4</v>
      </c>
      <c r="M66" s="34" t="str">
        <f>IF(J66&gt;3000,"Pending","Settled")</f>
        <v>Pending</v>
      </c>
      <c r="N66" s="34" t="str">
        <f>IF(J66&gt;350000,"Critical",
   IF(J66&gt;200000,"Very High",
      IF(J66&gt;100000,"High",
         IF(J66&gt;30000,"Medium","Low"))))</f>
        <v>Medium</v>
      </c>
      <c r="O66" s="115">
        <f>DATE(2026,1,30) - Table1[[#This Row],[Last Payment Date]]</f>
        <v>19</v>
      </c>
      <c r="P66" s="23" t="str">
        <f>IF(Table1[[#This Row],[Days Since Last Collection]]&lt;=45,"Active", IF(Table1[[#This Row],[Days Since Last Collection]]&lt;=75,"Moderate","Inactive"))</f>
        <v>Active</v>
      </c>
      <c r="Q66" s="20"/>
    </row>
    <row r="67" spans="1:17" ht="20.100000000000001" customHeight="1">
      <c r="A67" s="39" t="s">
        <v>129</v>
      </c>
      <c r="B67" s="18" t="s">
        <v>317</v>
      </c>
      <c r="C67" s="22" t="s">
        <v>4</v>
      </c>
      <c r="D67" s="49">
        <v>140000</v>
      </c>
      <c r="E67" s="21" t="str">
        <f ca="1">TEXT(Table1[[#This Row],[Last Sale Date]],"MMM")</f>
        <v>Dec</v>
      </c>
      <c r="F67" s="27">
        <f ca="1">DATE(2025,11,10) + RANDBETWEEN(0,81)</f>
        <v>46018</v>
      </c>
      <c r="G67" s="49">
        <v>40000</v>
      </c>
      <c r="H67" s="53" t="str">
        <f>TEXT(Table1[[#This Row],[Last Payment Date]],"MMM")</f>
        <v>Dec</v>
      </c>
      <c r="I67" s="28">
        <v>46019</v>
      </c>
      <c r="J67" s="107">
        <f>D67-G67</f>
        <v>100000</v>
      </c>
      <c r="K67" s="21">
        <v>0</v>
      </c>
      <c r="L67" s="21">
        <v>1</v>
      </c>
      <c r="M67" s="34" t="str">
        <f>IF(J67&gt;3000,"Pending","Settled")</f>
        <v>Pending</v>
      </c>
      <c r="N67" s="34" t="str">
        <f>IF(J67&gt;350000,"Critical",
   IF(J67&gt;200000,"Very High",
      IF(J67&gt;100000,"High",
         IF(J67&gt;30000,"Medium","Low"))))</f>
        <v>Medium</v>
      </c>
      <c r="O67" s="115">
        <f>DATE(2026,1,30) - Table1[[#This Row],[Last Payment Date]]</f>
        <v>33</v>
      </c>
      <c r="P67" s="23" t="str">
        <f>IF(Table1[[#This Row],[Days Since Last Collection]]&lt;=45,"Active", IF(Table1[[#This Row],[Days Since Last Collection]]&lt;=75,"Moderate","Inactive"))</f>
        <v>Active</v>
      </c>
      <c r="Q67" s="20"/>
    </row>
    <row r="68" spans="1:17" ht="20.100000000000001" customHeight="1">
      <c r="A68" s="39" t="s">
        <v>121</v>
      </c>
      <c r="B68" s="18" t="s">
        <v>318</v>
      </c>
      <c r="C68" s="22" t="s">
        <v>5</v>
      </c>
      <c r="D68" s="49">
        <v>2009740</v>
      </c>
      <c r="E68" s="21" t="str">
        <f ca="1">TEXT(Table1[[#This Row],[Last Sale Date]],"MMM")</f>
        <v>Jan</v>
      </c>
      <c r="F68" s="27">
        <f ca="1">DATE(2025,11,10) + RANDBETWEEN(0,81)</f>
        <v>46031</v>
      </c>
      <c r="G68" s="49">
        <v>1896800</v>
      </c>
      <c r="H68" s="53" t="str">
        <f>TEXT(Table1[[#This Row],[Last Payment Date]],"MMM")</f>
        <v>Jan</v>
      </c>
      <c r="I68" s="28">
        <v>46045</v>
      </c>
      <c r="J68" s="107">
        <f>D68-G68</f>
        <v>112940</v>
      </c>
      <c r="K68" s="21">
        <v>6</v>
      </c>
      <c r="L68" s="21">
        <v>2</v>
      </c>
      <c r="M68" s="34" t="str">
        <f>IF(J68&gt;3000,"Pending","Settled")</f>
        <v>Pending</v>
      </c>
      <c r="N68" s="34" t="str">
        <f>IF(J68&gt;350000,"Critical",
   IF(J68&gt;200000,"Very High",
      IF(J68&gt;100000,"High",
         IF(J68&gt;30000,"Medium","Low"))))</f>
        <v>High</v>
      </c>
      <c r="O68" s="115">
        <f>DATE(2026,1,30) - Table1[[#This Row],[Last Payment Date]]</f>
        <v>7</v>
      </c>
      <c r="P68" s="23" t="str">
        <f>IF(Table1[[#This Row],[Days Since Last Collection]]&lt;=45,"Active", IF(Table1[[#This Row],[Days Since Last Collection]]&lt;=75,"Moderate","Inactive"))</f>
        <v>Active</v>
      </c>
      <c r="Q68" s="20"/>
    </row>
    <row r="69" spans="1:17" ht="20.100000000000001" customHeight="1">
      <c r="A69" s="39" t="s">
        <v>71</v>
      </c>
      <c r="B69" s="18" t="s">
        <v>319</v>
      </c>
      <c r="C69" s="22" t="s">
        <v>6</v>
      </c>
      <c r="D69" s="49">
        <v>1501590</v>
      </c>
      <c r="E69" s="21" t="str">
        <f ca="1">TEXT(Table1[[#This Row],[Last Sale Date]],"MMM")</f>
        <v>Nov</v>
      </c>
      <c r="F69" s="27">
        <f ca="1">DATE(2025,11,10) + RANDBETWEEN(0,81)</f>
        <v>45986</v>
      </c>
      <c r="G69" s="49">
        <v>1211450</v>
      </c>
      <c r="H69" s="53" t="str">
        <f>TEXT(Table1[[#This Row],[Last Payment Date]],"MMM")</f>
        <v>Jan</v>
      </c>
      <c r="I69" s="28">
        <v>46045</v>
      </c>
      <c r="J69" s="107">
        <f>D69-G69</f>
        <v>290140</v>
      </c>
      <c r="K69" s="21">
        <v>4</v>
      </c>
      <c r="L69" s="21">
        <v>1</v>
      </c>
      <c r="M69" s="34" t="str">
        <f>IF(J69&gt;3000,"Pending","Settled")</f>
        <v>Pending</v>
      </c>
      <c r="N69" s="34" t="str">
        <f>IF(J69&gt;350000,"Critical",
   IF(J69&gt;200000,"Very High",
      IF(J69&gt;100000,"High",
         IF(J69&gt;30000,"Medium","Low"))))</f>
        <v>Very High</v>
      </c>
      <c r="O69" s="115">
        <f>DATE(2026,1,30) - Table1[[#This Row],[Last Payment Date]]</f>
        <v>7</v>
      </c>
      <c r="P69" s="23" t="str">
        <f>IF(Table1[[#This Row],[Days Since Last Collection]]&lt;=45,"Active", IF(Table1[[#This Row],[Days Since Last Collection]]&lt;=75,"Moderate","Inactive"))</f>
        <v>Active</v>
      </c>
      <c r="Q69" s="20"/>
    </row>
    <row r="70" spans="1:17" ht="20.100000000000001" customHeight="1">
      <c r="A70" s="39" t="s">
        <v>39</v>
      </c>
      <c r="B70" s="18" t="s">
        <v>320</v>
      </c>
      <c r="C70" s="22" t="s">
        <v>4</v>
      </c>
      <c r="D70" s="49">
        <v>2222440</v>
      </c>
      <c r="E70" s="21" t="str">
        <f ca="1">TEXT(Table1[[#This Row],[Last Sale Date]],"MMM")</f>
        <v>Nov</v>
      </c>
      <c r="F70" s="27">
        <f ca="1">DATE(2025,11,10) + RANDBETWEEN(0,81)</f>
        <v>45980</v>
      </c>
      <c r="G70" s="49">
        <v>1716290</v>
      </c>
      <c r="H70" s="53" t="str">
        <f>TEXT(Table1[[#This Row],[Last Payment Date]],"MMM")</f>
        <v>Nov</v>
      </c>
      <c r="I70" s="28">
        <v>45974</v>
      </c>
      <c r="J70" s="107">
        <f>D70-G70</f>
        <v>506150</v>
      </c>
      <c r="K70" s="21">
        <v>12</v>
      </c>
      <c r="L70" s="21">
        <v>8</v>
      </c>
      <c r="M70" s="34" t="str">
        <f>IF(J70&gt;3000,"Pending","Settled")</f>
        <v>Pending</v>
      </c>
      <c r="N70" s="34" t="str">
        <f>IF(J70&gt;350000,"Critical",
   IF(J70&gt;200000,"Very High",
      IF(J70&gt;100000,"High",
         IF(J70&gt;30000,"Medium","Low"))))</f>
        <v>Critical</v>
      </c>
      <c r="O70" s="115">
        <f>DATE(2026,1,30) - Table1[[#This Row],[Last Payment Date]]</f>
        <v>78</v>
      </c>
      <c r="P70" s="23" t="str">
        <f>IF(Table1[[#This Row],[Days Since Last Collection]]&lt;=45,"Active", IF(Table1[[#This Row],[Days Since Last Collection]]&lt;=75,"Moderate","Inactive"))</f>
        <v>Inactive</v>
      </c>
      <c r="Q70" s="20"/>
    </row>
    <row r="71" spans="1:17" ht="20.100000000000001" customHeight="1">
      <c r="A71" s="39" t="s">
        <v>231</v>
      </c>
      <c r="B71" s="18" t="s">
        <v>321</v>
      </c>
      <c r="C71" s="22" t="s">
        <v>12</v>
      </c>
      <c r="D71" s="49">
        <v>19960</v>
      </c>
      <c r="E71" s="21" t="str">
        <f ca="1">TEXT(Table1[[#This Row],[Last Sale Date]],"MMM")</f>
        <v>Jan</v>
      </c>
      <c r="F71" s="27">
        <f ca="1">DATE(2025,11,10) + RANDBETWEEN(0,81)</f>
        <v>46043</v>
      </c>
      <c r="G71" s="49">
        <v>18140</v>
      </c>
      <c r="H71" s="53" t="str">
        <f>TEXT(Table1[[#This Row],[Last Payment Date]],"MMM")</f>
        <v>Nov</v>
      </c>
      <c r="I71" s="28">
        <v>45991</v>
      </c>
      <c r="J71" s="107">
        <f>D71-G71</f>
        <v>1820</v>
      </c>
      <c r="K71" s="21">
        <v>2</v>
      </c>
      <c r="L71" s="21">
        <v>3</v>
      </c>
      <c r="M71" s="34" t="str">
        <f>IF(J71&gt;3000,"Pending","Settled")</f>
        <v>Settled</v>
      </c>
      <c r="N71" s="34" t="str">
        <f>IF(J71&gt;350000,"Critical",
   IF(J71&gt;200000,"Very High",
      IF(J71&gt;100000,"High",
         IF(J71&gt;30000,"Medium","Low"))))</f>
        <v>Low</v>
      </c>
      <c r="O71" s="115">
        <f>DATE(2026,1,30) - Table1[[#This Row],[Last Payment Date]]</f>
        <v>61</v>
      </c>
      <c r="P71" s="23" t="str">
        <f>IF(Table1[[#This Row],[Days Since Last Collection]]&lt;=45,"Active", IF(Table1[[#This Row],[Days Since Last Collection]]&lt;=75,"Moderate","Inactive"))</f>
        <v>Moderate</v>
      </c>
      <c r="Q71" s="20"/>
    </row>
    <row r="72" spans="1:17" ht="20.100000000000001" customHeight="1">
      <c r="A72" s="39" t="s">
        <v>218</v>
      </c>
      <c r="B72" s="18" t="s">
        <v>322</v>
      </c>
      <c r="C72" s="22" t="s">
        <v>4</v>
      </c>
      <c r="D72" s="49">
        <v>10890</v>
      </c>
      <c r="E72" s="21" t="str">
        <f ca="1">TEXT(Table1[[#This Row],[Last Sale Date]],"MMM")</f>
        <v>Jan</v>
      </c>
      <c r="F72" s="27">
        <f ca="1">DATE(2025,11,10) + RANDBETWEEN(0,81)</f>
        <v>46042</v>
      </c>
      <c r="G72" s="49">
        <v>7730</v>
      </c>
      <c r="H72" s="53" t="str">
        <f>TEXT(Table1[[#This Row],[Last Payment Date]],"MMM")</f>
        <v>Nov</v>
      </c>
      <c r="I72" s="28">
        <v>45973</v>
      </c>
      <c r="J72" s="107">
        <f>D72-G72</f>
        <v>3160</v>
      </c>
      <c r="K72" s="21">
        <v>3</v>
      </c>
      <c r="L72" s="21">
        <v>2</v>
      </c>
      <c r="M72" s="34" t="str">
        <f>IF(J72&gt;3000,"Pending","Settled")</f>
        <v>Pending</v>
      </c>
      <c r="N72" s="34" t="str">
        <f>IF(J72&gt;350000,"Critical",
   IF(J72&gt;200000,"Very High",
      IF(J72&gt;100000,"High",
         IF(J72&gt;30000,"Medium","Low"))))</f>
        <v>Low</v>
      </c>
      <c r="O72" s="115">
        <f>DATE(2026,1,30) - Table1[[#This Row],[Last Payment Date]]</f>
        <v>79</v>
      </c>
      <c r="P72" s="23" t="str">
        <f>IF(Table1[[#This Row],[Days Since Last Collection]]&lt;=45,"Active", IF(Table1[[#This Row],[Days Since Last Collection]]&lt;=75,"Moderate","Inactive"))</f>
        <v>Inactive</v>
      </c>
      <c r="Q72" s="20"/>
    </row>
    <row r="73" spans="1:17" ht="20.100000000000001" customHeight="1">
      <c r="A73" s="39" t="s">
        <v>74</v>
      </c>
      <c r="B73" s="18" t="s">
        <v>323</v>
      </c>
      <c r="C73" s="22" t="s">
        <v>12</v>
      </c>
      <c r="D73" s="49">
        <v>1784330</v>
      </c>
      <c r="E73" s="21" t="str">
        <f ca="1">TEXT(Table1[[#This Row],[Last Sale Date]],"MMM")</f>
        <v>Nov</v>
      </c>
      <c r="F73" s="27">
        <f ca="1">DATE(2025,11,10) + RANDBETWEEN(0,81)</f>
        <v>45987</v>
      </c>
      <c r="G73" s="49">
        <v>1514980</v>
      </c>
      <c r="H73" s="53" t="str">
        <f>TEXT(Table1[[#This Row],[Last Payment Date]],"MMM")</f>
        <v>Jan</v>
      </c>
      <c r="I73" s="28">
        <v>46038</v>
      </c>
      <c r="J73" s="107">
        <f>D73-G73</f>
        <v>269350</v>
      </c>
      <c r="K73" s="21">
        <v>6</v>
      </c>
      <c r="L73" s="21">
        <v>2</v>
      </c>
      <c r="M73" s="34" t="str">
        <f>IF(J73&gt;3000,"Pending","Settled")</f>
        <v>Pending</v>
      </c>
      <c r="N73" s="34" t="str">
        <f>IF(J73&gt;350000,"Critical",
   IF(J73&gt;200000,"Very High",
      IF(J73&gt;100000,"High",
         IF(J73&gt;30000,"Medium","Low"))))</f>
        <v>Very High</v>
      </c>
      <c r="O73" s="115">
        <f>DATE(2026,1,30) - Table1[[#This Row],[Last Payment Date]]</f>
        <v>14</v>
      </c>
      <c r="P73" s="23" t="str">
        <f>IF(Table1[[#This Row],[Days Since Last Collection]]&lt;=45,"Active", IF(Table1[[#This Row],[Days Since Last Collection]]&lt;=75,"Moderate","Inactive"))</f>
        <v>Active</v>
      </c>
      <c r="Q73" s="20"/>
    </row>
    <row r="74" spans="1:17" ht="20.100000000000001" customHeight="1">
      <c r="A74" s="39" t="s">
        <v>209</v>
      </c>
      <c r="B74" s="18" t="s">
        <v>324</v>
      </c>
      <c r="C74" s="22" t="s">
        <v>12</v>
      </c>
      <c r="D74" s="49">
        <v>246090</v>
      </c>
      <c r="E74" s="21" t="str">
        <f ca="1">TEXT(Table1[[#This Row],[Last Sale Date]],"MMM")</f>
        <v>Dec</v>
      </c>
      <c r="F74" s="27">
        <f ca="1">DATE(2025,11,10) + RANDBETWEEN(0,81)</f>
        <v>46004</v>
      </c>
      <c r="G74" s="49">
        <v>240950</v>
      </c>
      <c r="H74" s="53" t="str">
        <f>TEXT(Table1[[#This Row],[Last Payment Date]],"MMM")</f>
        <v>Dec</v>
      </c>
      <c r="I74" s="28">
        <v>46020</v>
      </c>
      <c r="J74" s="107">
        <f>D74-G74</f>
        <v>5140</v>
      </c>
      <c r="K74" s="21">
        <v>4</v>
      </c>
      <c r="L74" s="21">
        <v>4</v>
      </c>
      <c r="M74" s="34" t="str">
        <f>IF(J74&gt;3000,"Pending","Settled")</f>
        <v>Pending</v>
      </c>
      <c r="N74" s="34" t="str">
        <f>IF(J74&gt;350000,"Critical",
   IF(J74&gt;200000,"Very High",
      IF(J74&gt;100000,"High",
         IF(J74&gt;30000,"Medium","Low"))))</f>
        <v>Low</v>
      </c>
      <c r="O74" s="115">
        <f>DATE(2026,1,30) - Table1[[#This Row],[Last Payment Date]]</f>
        <v>32</v>
      </c>
      <c r="P74" s="23" t="str">
        <f>IF(Table1[[#This Row],[Days Since Last Collection]]&lt;=45,"Active", IF(Table1[[#This Row],[Days Since Last Collection]]&lt;=75,"Moderate","Inactive"))</f>
        <v>Active</v>
      </c>
      <c r="Q74" s="20"/>
    </row>
    <row r="75" spans="1:17" ht="20.100000000000001" customHeight="1">
      <c r="A75" s="39" t="s">
        <v>109</v>
      </c>
      <c r="B75" s="18" t="s">
        <v>325</v>
      </c>
      <c r="C75" s="22" t="s">
        <v>9</v>
      </c>
      <c r="D75" s="49">
        <v>2100470</v>
      </c>
      <c r="E75" s="21" t="str">
        <f ca="1">TEXT(Table1[[#This Row],[Last Sale Date]],"MMM")</f>
        <v>Jan</v>
      </c>
      <c r="F75" s="27">
        <f ca="1">DATE(2025,11,10) + RANDBETWEEN(0,81)</f>
        <v>46050</v>
      </c>
      <c r="G75" s="49">
        <v>1951520</v>
      </c>
      <c r="H75" s="53" t="str">
        <f>TEXT(Table1[[#This Row],[Last Payment Date]],"MMM")</f>
        <v>Nov</v>
      </c>
      <c r="I75" s="28">
        <v>45973</v>
      </c>
      <c r="J75" s="107">
        <f>D75-G75</f>
        <v>148950</v>
      </c>
      <c r="K75" s="21">
        <v>4</v>
      </c>
      <c r="L75" s="21">
        <v>4</v>
      </c>
      <c r="M75" s="34" t="str">
        <f>IF(J75&gt;3000,"Pending","Settled")</f>
        <v>Pending</v>
      </c>
      <c r="N75" s="34" t="str">
        <f>IF(J75&gt;350000,"Critical",
   IF(J75&gt;200000,"Very High",
      IF(J75&gt;100000,"High",
         IF(J75&gt;30000,"Medium","Low"))))</f>
        <v>High</v>
      </c>
      <c r="O75" s="115">
        <f>DATE(2026,1,30) - Table1[[#This Row],[Last Payment Date]]</f>
        <v>79</v>
      </c>
      <c r="P75" s="23" t="str">
        <f>IF(Table1[[#This Row],[Days Since Last Collection]]&lt;=45,"Active", IF(Table1[[#This Row],[Days Since Last Collection]]&lt;=75,"Moderate","Inactive"))</f>
        <v>Inactive</v>
      </c>
      <c r="Q75" s="20"/>
    </row>
    <row r="76" spans="1:17" ht="20.100000000000001" customHeight="1">
      <c r="A76" s="39" t="s">
        <v>235</v>
      </c>
      <c r="B76" s="18" t="s">
        <v>326</v>
      </c>
      <c r="C76" s="22" t="s">
        <v>7</v>
      </c>
      <c r="D76" s="49">
        <v>14020</v>
      </c>
      <c r="E76" s="21" t="str">
        <f ca="1">TEXT(Table1[[#This Row],[Last Sale Date]],"MMM")</f>
        <v>Dec</v>
      </c>
      <c r="F76" s="27">
        <f ca="1">DATE(2025,11,10) + RANDBETWEEN(0,81)</f>
        <v>46009</v>
      </c>
      <c r="G76" s="49">
        <v>14000</v>
      </c>
      <c r="H76" s="53" t="str">
        <f>TEXT(Table1[[#This Row],[Last Payment Date]],"MMM")</f>
        <v>Jan</v>
      </c>
      <c r="I76" s="28">
        <v>46043</v>
      </c>
      <c r="J76" s="107">
        <f>D76-G76</f>
        <v>20</v>
      </c>
      <c r="K76" s="21">
        <v>1</v>
      </c>
      <c r="L76" s="21">
        <v>1</v>
      </c>
      <c r="M76" s="34" t="str">
        <f>IF(J76&gt;3000,"Pending","Settled")</f>
        <v>Settled</v>
      </c>
      <c r="N76" s="34" t="str">
        <f>IF(J76&gt;350000,"Critical",
   IF(J76&gt;200000,"Very High",
      IF(J76&gt;100000,"High",
         IF(J76&gt;30000,"Medium","Low"))))</f>
        <v>Low</v>
      </c>
      <c r="O76" s="115">
        <f>DATE(2026,1,30) - Table1[[#This Row],[Last Payment Date]]</f>
        <v>9</v>
      </c>
      <c r="P76" s="23" t="str">
        <f>IF(Table1[[#This Row],[Days Since Last Collection]]&lt;=45,"Active", IF(Table1[[#This Row],[Days Since Last Collection]]&lt;=75,"Moderate","Inactive"))</f>
        <v>Active</v>
      </c>
      <c r="Q76" s="20"/>
    </row>
    <row r="77" spans="1:17" ht="20.100000000000001" customHeight="1">
      <c r="A77" s="39" t="s">
        <v>113</v>
      </c>
      <c r="B77" s="18" t="s">
        <v>327</v>
      </c>
      <c r="C77" s="22" t="s">
        <v>12</v>
      </c>
      <c r="D77" s="49">
        <v>2072050</v>
      </c>
      <c r="E77" s="21" t="str">
        <f ca="1">TEXT(Table1[[#This Row],[Last Sale Date]],"MMM")</f>
        <v>Dec</v>
      </c>
      <c r="F77" s="27">
        <f ca="1">DATE(2025,11,10) + RANDBETWEEN(0,81)</f>
        <v>45995</v>
      </c>
      <c r="G77" s="49">
        <v>1929290</v>
      </c>
      <c r="H77" s="53" t="str">
        <f>TEXT(Table1[[#This Row],[Last Payment Date]],"MMM")</f>
        <v>Jan</v>
      </c>
      <c r="I77" s="28">
        <v>46047</v>
      </c>
      <c r="J77" s="107">
        <f>D77-G77</f>
        <v>142760</v>
      </c>
      <c r="K77" s="21">
        <v>2</v>
      </c>
      <c r="L77" s="21">
        <v>2</v>
      </c>
      <c r="M77" s="34" t="str">
        <f>IF(J77&gt;3000,"Pending","Settled")</f>
        <v>Pending</v>
      </c>
      <c r="N77" s="34" t="str">
        <f>IF(J77&gt;350000,"Critical",
   IF(J77&gt;200000,"Very High",
      IF(J77&gt;100000,"High",
         IF(J77&gt;30000,"Medium","Low"))))</f>
        <v>High</v>
      </c>
      <c r="O77" s="115">
        <f>DATE(2026,1,30) - Table1[[#This Row],[Last Payment Date]]</f>
        <v>5</v>
      </c>
      <c r="P77" s="23" t="str">
        <f>IF(Table1[[#This Row],[Days Since Last Collection]]&lt;=45,"Active", IF(Table1[[#This Row],[Days Since Last Collection]]&lt;=75,"Moderate","Inactive"))</f>
        <v>Active</v>
      </c>
      <c r="Q77" s="20"/>
    </row>
    <row r="78" spans="1:17" ht="20.100000000000001" customHeight="1">
      <c r="A78" s="39" t="s">
        <v>41</v>
      </c>
      <c r="B78" s="18" t="s">
        <v>328</v>
      </c>
      <c r="C78" s="22" t="s">
        <v>5</v>
      </c>
      <c r="D78" s="49">
        <v>1828150</v>
      </c>
      <c r="E78" s="21" t="str">
        <f ca="1">TEXT(Table1[[#This Row],[Last Sale Date]],"MMM")</f>
        <v>Jan</v>
      </c>
      <c r="F78" s="27">
        <f ca="1">DATE(2025,11,10) + RANDBETWEEN(0,81)</f>
        <v>46030</v>
      </c>
      <c r="G78" s="49">
        <v>1361970</v>
      </c>
      <c r="H78" s="53" t="str">
        <f>TEXT(Table1[[#This Row],[Last Payment Date]],"MMM")</f>
        <v>Jan</v>
      </c>
      <c r="I78" s="28">
        <v>46050</v>
      </c>
      <c r="J78" s="107">
        <f>D78-G78</f>
        <v>466180</v>
      </c>
      <c r="K78" s="21">
        <v>5</v>
      </c>
      <c r="L78" s="21">
        <v>4</v>
      </c>
      <c r="M78" s="34" t="str">
        <f>IF(J78&gt;3000,"Pending","Settled")</f>
        <v>Pending</v>
      </c>
      <c r="N78" s="34" t="str">
        <f>IF(J78&gt;350000,"Critical",
   IF(J78&gt;200000,"Very High",
      IF(J78&gt;100000,"High",
         IF(J78&gt;30000,"Medium","Low"))))</f>
        <v>Critical</v>
      </c>
      <c r="O78" s="115">
        <f>DATE(2026,1,30) - Table1[[#This Row],[Last Payment Date]]</f>
        <v>2</v>
      </c>
      <c r="P78" s="23" t="str">
        <f>IF(Table1[[#This Row],[Days Since Last Collection]]&lt;=45,"Active", IF(Table1[[#This Row],[Days Since Last Collection]]&lt;=75,"Moderate","Inactive"))</f>
        <v>Active</v>
      </c>
      <c r="Q78" s="20"/>
    </row>
    <row r="79" spans="1:17" ht="20.100000000000001" customHeight="1">
      <c r="A79" s="39" t="s">
        <v>222</v>
      </c>
      <c r="B79" s="18" t="s">
        <v>329</v>
      </c>
      <c r="C79" s="22" t="s">
        <v>6</v>
      </c>
      <c r="D79" s="49">
        <v>7900</v>
      </c>
      <c r="E79" s="21" t="str">
        <f ca="1">TEXT(Table1[[#This Row],[Last Sale Date]],"MMM")</f>
        <v>Jan</v>
      </c>
      <c r="F79" s="27">
        <f ca="1">DATE(2025,11,10) + RANDBETWEEN(0,81)</f>
        <v>46042</v>
      </c>
      <c r="G79" s="49">
        <v>5000</v>
      </c>
      <c r="H79" s="53" t="str">
        <f>TEXT(Table1[[#This Row],[Last Payment Date]],"MMM")</f>
        <v>Dec</v>
      </c>
      <c r="I79" s="28">
        <v>45993</v>
      </c>
      <c r="J79" s="107">
        <f>D79-G79</f>
        <v>2900</v>
      </c>
      <c r="K79" s="21">
        <v>0</v>
      </c>
      <c r="L79" s="21">
        <v>4</v>
      </c>
      <c r="M79" s="34" t="str">
        <f>IF(J79&gt;3000,"Pending","Settled")</f>
        <v>Settled</v>
      </c>
      <c r="N79" s="34" t="str">
        <f>IF(J79&gt;350000,"Critical",
   IF(J79&gt;200000,"Very High",
      IF(J79&gt;100000,"High",
         IF(J79&gt;30000,"Medium","Low"))))</f>
        <v>Low</v>
      </c>
      <c r="O79" s="115">
        <f>DATE(2026,1,30) - Table1[[#This Row],[Last Payment Date]]</f>
        <v>59</v>
      </c>
      <c r="P79" s="23" t="str">
        <f>IF(Table1[[#This Row],[Days Since Last Collection]]&lt;=45,"Active", IF(Table1[[#This Row],[Days Since Last Collection]]&lt;=75,"Moderate","Inactive"))</f>
        <v>Moderate</v>
      </c>
      <c r="Q79" s="20"/>
    </row>
    <row r="80" spans="1:17" ht="20.100000000000001" customHeight="1">
      <c r="A80" s="39" t="s">
        <v>98</v>
      </c>
      <c r="B80" s="18" t="s">
        <v>330</v>
      </c>
      <c r="C80" s="22" t="s">
        <v>5</v>
      </c>
      <c r="D80" s="49">
        <v>1589820</v>
      </c>
      <c r="E80" s="21" t="str">
        <f ca="1">TEXT(Table1[[#This Row],[Last Sale Date]],"MMM")</f>
        <v>Jan</v>
      </c>
      <c r="F80" s="27">
        <f ca="1">DATE(2025,11,10) + RANDBETWEEN(0,81)</f>
        <v>46031</v>
      </c>
      <c r="G80" s="49">
        <v>1414560</v>
      </c>
      <c r="H80" s="53" t="str">
        <f>TEXT(Table1[[#This Row],[Last Payment Date]],"MMM")</f>
        <v>Jan</v>
      </c>
      <c r="I80" s="28">
        <v>46051</v>
      </c>
      <c r="J80" s="107">
        <f>D80-G80</f>
        <v>175260</v>
      </c>
      <c r="K80" s="21">
        <v>5</v>
      </c>
      <c r="L80" s="21">
        <v>4</v>
      </c>
      <c r="M80" s="34" t="str">
        <f>IF(J80&gt;3000,"Pending","Settled")</f>
        <v>Pending</v>
      </c>
      <c r="N80" s="34" t="str">
        <f>IF(J80&gt;350000,"Critical",
   IF(J80&gt;200000,"Very High",
      IF(J80&gt;100000,"High",
         IF(J80&gt;30000,"Medium","Low"))))</f>
        <v>High</v>
      </c>
      <c r="O80" s="115">
        <f>DATE(2026,1,30) - Table1[[#This Row],[Last Payment Date]]</f>
        <v>1</v>
      </c>
      <c r="P80" s="23" t="str">
        <f>IF(Table1[[#This Row],[Days Since Last Collection]]&lt;=45,"Active", IF(Table1[[#This Row],[Days Since Last Collection]]&lt;=75,"Moderate","Inactive"))</f>
        <v>Active</v>
      </c>
      <c r="Q80" s="20"/>
    </row>
    <row r="81" spans="1:17" ht="20.100000000000001" customHeight="1">
      <c r="A81" s="39" t="s">
        <v>111</v>
      </c>
      <c r="B81" s="18" t="s">
        <v>331</v>
      </c>
      <c r="C81" s="22" t="s">
        <v>4</v>
      </c>
      <c r="D81" s="49">
        <v>2189790</v>
      </c>
      <c r="E81" s="21" t="str">
        <f ca="1">TEXT(Table1[[#This Row],[Last Sale Date]],"MMM")</f>
        <v>Dec</v>
      </c>
      <c r="F81" s="27">
        <f ca="1">DATE(2025,11,10) + RANDBETWEEN(0,81)</f>
        <v>46005</v>
      </c>
      <c r="G81" s="49">
        <v>2045680</v>
      </c>
      <c r="H81" s="53" t="str">
        <f>TEXT(Table1[[#This Row],[Last Payment Date]],"MMM")</f>
        <v>Jan</v>
      </c>
      <c r="I81" s="28">
        <v>46050</v>
      </c>
      <c r="J81" s="107">
        <f>D81-G81</f>
        <v>144110</v>
      </c>
      <c r="K81" s="21">
        <v>5</v>
      </c>
      <c r="L81" s="21">
        <v>2</v>
      </c>
      <c r="M81" s="34" t="str">
        <f>IF(J81&gt;3000,"Pending","Settled")</f>
        <v>Pending</v>
      </c>
      <c r="N81" s="34" t="str">
        <f>IF(J81&gt;350000,"Critical",
   IF(J81&gt;200000,"Very High",
      IF(J81&gt;100000,"High",
         IF(J81&gt;30000,"Medium","Low"))))</f>
        <v>High</v>
      </c>
      <c r="O81" s="115">
        <f>DATE(2026,1,30) - Table1[[#This Row],[Last Payment Date]]</f>
        <v>2</v>
      </c>
      <c r="P81" s="23" t="str">
        <f>IF(Table1[[#This Row],[Days Since Last Collection]]&lt;=45,"Active", IF(Table1[[#This Row],[Days Since Last Collection]]&lt;=75,"Moderate","Inactive"))</f>
        <v>Active</v>
      </c>
      <c r="Q81" s="20"/>
    </row>
    <row r="82" spans="1:17" ht="20.100000000000001" customHeight="1">
      <c r="A82" s="39" t="s">
        <v>213</v>
      </c>
      <c r="B82" s="18" t="s">
        <v>332</v>
      </c>
      <c r="C82" s="22" t="s">
        <v>5</v>
      </c>
      <c r="D82" s="49">
        <v>17830</v>
      </c>
      <c r="E82" s="21" t="str">
        <f ca="1">TEXT(Table1[[#This Row],[Last Sale Date]],"MMM")</f>
        <v>Dec</v>
      </c>
      <c r="F82" s="27">
        <f ca="1">DATE(2025,11,10) + RANDBETWEEN(0,81)</f>
        <v>46007</v>
      </c>
      <c r="G82" s="49">
        <v>13930</v>
      </c>
      <c r="H82" s="53" t="str">
        <f>TEXT(Table1[[#This Row],[Last Payment Date]],"MMM")</f>
        <v>Jan</v>
      </c>
      <c r="I82" s="28">
        <v>46049</v>
      </c>
      <c r="J82" s="107">
        <f>D82-G82</f>
        <v>3900</v>
      </c>
      <c r="K82" s="21">
        <v>1</v>
      </c>
      <c r="L82" s="21">
        <v>1</v>
      </c>
      <c r="M82" s="34" t="str">
        <f>IF(J82&gt;3000,"Pending","Settled")</f>
        <v>Pending</v>
      </c>
      <c r="N82" s="34" t="str">
        <f>IF(J82&gt;350000,"Critical",
   IF(J82&gt;200000,"Very High",
      IF(J82&gt;100000,"High",
         IF(J82&gt;30000,"Medium","Low"))))</f>
        <v>Low</v>
      </c>
      <c r="O82" s="115">
        <f>DATE(2026,1,30) - Table1[[#This Row],[Last Payment Date]]</f>
        <v>3</v>
      </c>
      <c r="P82" s="23" t="str">
        <f>IF(Table1[[#This Row],[Days Since Last Collection]]&lt;=45,"Active", IF(Table1[[#This Row],[Days Since Last Collection]]&lt;=75,"Moderate","Inactive"))</f>
        <v>Active</v>
      </c>
      <c r="Q82" s="20"/>
    </row>
    <row r="83" spans="1:17" ht="20.100000000000001" customHeight="1">
      <c r="A83" s="39" t="s">
        <v>173</v>
      </c>
      <c r="B83" s="18" t="s">
        <v>333</v>
      </c>
      <c r="C83" s="22" t="s">
        <v>12</v>
      </c>
      <c r="D83" s="49">
        <v>122570</v>
      </c>
      <c r="E83" s="21" t="str">
        <f ca="1">TEXT(Table1[[#This Row],[Last Sale Date]],"MMM")</f>
        <v>Jan</v>
      </c>
      <c r="F83" s="27">
        <f ca="1">DATE(2025,11,10) + RANDBETWEEN(0,81)</f>
        <v>46046</v>
      </c>
      <c r="G83" s="49">
        <v>95070</v>
      </c>
      <c r="H83" s="53" t="str">
        <f>TEXT(Table1[[#This Row],[Last Payment Date]],"MMM")</f>
        <v>Dec</v>
      </c>
      <c r="I83" s="28">
        <v>45996</v>
      </c>
      <c r="J83" s="107">
        <f>D83-G83</f>
        <v>27500</v>
      </c>
      <c r="K83" s="21">
        <v>6</v>
      </c>
      <c r="L83" s="21">
        <v>3</v>
      </c>
      <c r="M83" s="34" t="str">
        <f>IF(J83&gt;3000,"Pending","Settled")</f>
        <v>Pending</v>
      </c>
      <c r="N83" s="34" t="str">
        <f>IF(J83&gt;350000,"Critical",
   IF(J83&gt;200000,"Very High",
      IF(J83&gt;100000,"High",
         IF(J83&gt;30000,"Medium","Low"))))</f>
        <v>Low</v>
      </c>
      <c r="O83" s="115">
        <f>DATE(2026,1,30) - Table1[[#This Row],[Last Payment Date]]</f>
        <v>56</v>
      </c>
      <c r="P83" s="23" t="str">
        <f>IF(Table1[[#This Row],[Days Since Last Collection]]&lt;=45,"Active", IF(Table1[[#This Row],[Days Since Last Collection]]&lt;=75,"Moderate","Inactive"))</f>
        <v>Moderate</v>
      </c>
      <c r="Q83" s="20"/>
    </row>
    <row r="84" spans="1:17" ht="20.100000000000001" customHeight="1">
      <c r="A84" s="39" t="s">
        <v>100</v>
      </c>
      <c r="B84" s="18" t="s">
        <v>334</v>
      </c>
      <c r="C84" s="22" t="s">
        <v>7</v>
      </c>
      <c r="D84" s="49">
        <v>2176480</v>
      </c>
      <c r="E84" s="21" t="str">
        <f ca="1">TEXT(Table1[[#This Row],[Last Sale Date]],"MMM")</f>
        <v>Nov</v>
      </c>
      <c r="F84" s="27">
        <f ca="1">DATE(2025,11,10) + RANDBETWEEN(0,81)</f>
        <v>45981</v>
      </c>
      <c r="G84" s="49">
        <v>2008520</v>
      </c>
      <c r="H84" s="53" t="str">
        <f>TEXT(Table1[[#This Row],[Last Payment Date]],"MMM")</f>
        <v>Dec</v>
      </c>
      <c r="I84" s="28">
        <v>46002</v>
      </c>
      <c r="J84" s="107">
        <f>D84-G84</f>
        <v>167960</v>
      </c>
      <c r="K84" s="21">
        <v>6</v>
      </c>
      <c r="L84" s="21">
        <v>4</v>
      </c>
      <c r="M84" s="34" t="str">
        <f>IF(J84&gt;3000,"Pending","Settled")</f>
        <v>Pending</v>
      </c>
      <c r="N84" s="34" t="str">
        <f>IF(J84&gt;350000,"Critical",
   IF(J84&gt;200000,"Very High",
      IF(J84&gt;100000,"High",
         IF(J84&gt;30000,"Medium","Low"))))</f>
        <v>High</v>
      </c>
      <c r="O84" s="115">
        <f>DATE(2026,1,30) - Table1[[#This Row],[Last Payment Date]]</f>
        <v>50</v>
      </c>
      <c r="P84" s="23" t="str">
        <f>IF(Table1[[#This Row],[Days Since Last Collection]]&lt;=45,"Active", IF(Table1[[#This Row],[Days Since Last Collection]]&lt;=75,"Moderate","Inactive"))</f>
        <v>Moderate</v>
      </c>
      <c r="Q84" s="20"/>
    </row>
    <row r="85" spans="1:17" ht="20.100000000000001" customHeight="1">
      <c r="A85" s="39" t="s">
        <v>112</v>
      </c>
      <c r="B85" s="18" t="s">
        <v>335</v>
      </c>
      <c r="C85" s="22" t="s">
        <v>4</v>
      </c>
      <c r="D85" s="49">
        <v>1699410</v>
      </c>
      <c r="E85" s="21" t="str">
        <f ca="1">TEXT(Table1[[#This Row],[Last Sale Date]],"MMM")</f>
        <v>Jan</v>
      </c>
      <c r="F85" s="27">
        <f ca="1">DATE(2025,11,10) + RANDBETWEEN(0,81)</f>
        <v>46024</v>
      </c>
      <c r="G85" s="49">
        <v>1556280</v>
      </c>
      <c r="H85" s="53" t="str">
        <f>TEXT(Table1[[#This Row],[Last Payment Date]],"MMM")</f>
        <v>Nov</v>
      </c>
      <c r="I85" s="28">
        <v>45987</v>
      </c>
      <c r="J85" s="107">
        <f>D85-G85</f>
        <v>143130</v>
      </c>
      <c r="K85" s="21">
        <v>4</v>
      </c>
      <c r="L85" s="21">
        <v>3</v>
      </c>
      <c r="M85" s="34" t="str">
        <f>IF(J85&gt;3000,"Pending","Settled")</f>
        <v>Pending</v>
      </c>
      <c r="N85" s="34" t="str">
        <f>IF(J85&gt;350000,"Critical",
   IF(J85&gt;200000,"Very High",
      IF(J85&gt;100000,"High",
         IF(J85&gt;30000,"Medium","Low"))))</f>
        <v>High</v>
      </c>
      <c r="O85" s="115">
        <f>DATE(2026,1,30) - Table1[[#This Row],[Last Payment Date]]</f>
        <v>65</v>
      </c>
      <c r="P85" s="23" t="str">
        <f>IF(Table1[[#This Row],[Days Since Last Collection]]&lt;=45,"Active", IF(Table1[[#This Row],[Days Since Last Collection]]&lt;=75,"Moderate","Inactive"))</f>
        <v>Moderate</v>
      </c>
      <c r="Q85" s="20"/>
    </row>
    <row r="86" spans="1:17" ht="20.100000000000001" customHeight="1">
      <c r="A86" s="39" t="s">
        <v>187</v>
      </c>
      <c r="B86" s="18" t="s">
        <v>336</v>
      </c>
      <c r="C86" s="22" t="s">
        <v>4</v>
      </c>
      <c r="D86" s="49">
        <v>18820</v>
      </c>
      <c r="E86" s="21" t="str">
        <f ca="1">TEXT(Table1[[#This Row],[Last Sale Date]],"MMM")</f>
        <v>Jan</v>
      </c>
      <c r="F86" s="27">
        <f ca="1">DATE(2025,11,10) + RANDBETWEEN(0,81)</f>
        <v>46052</v>
      </c>
      <c r="G86" s="49">
        <v>2800</v>
      </c>
      <c r="H86" s="53" t="str">
        <f>TEXT(Table1[[#This Row],[Last Payment Date]],"MMM")</f>
        <v>Dec</v>
      </c>
      <c r="I86" s="28">
        <v>46002</v>
      </c>
      <c r="J86" s="107">
        <f>D86-G86</f>
        <v>16020</v>
      </c>
      <c r="K86" s="21">
        <v>1</v>
      </c>
      <c r="L86" s="21">
        <v>3</v>
      </c>
      <c r="M86" s="34" t="str">
        <f>IF(J86&gt;3000,"Pending","Settled")</f>
        <v>Pending</v>
      </c>
      <c r="N86" s="34" t="str">
        <f>IF(J86&gt;350000,"Critical",
   IF(J86&gt;200000,"Very High",
      IF(J86&gt;100000,"High",
         IF(J86&gt;30000,"Medium","Low"))))</f>
        <v>Low</v>
      </c>
      <c r="O86" s="115">
        <f>DATE(2026,1,30) - Table1[[#This Row],[Last Payment Date]]</f>
        <v>50</v>
      </c>
      <c r="P86" s="23" t="str">
        <f>IF(Table1[[#This Row],[Days Since Last Collection]]&lt;=45,"Active", IF(Table1[[#This Row],[Days Since Last Collection]]&lt;=75,"Moderate","Inactive"))</f>
        <v>Moderate</v>
      </c>
      <c r="Q86" s="20"/>
    </row>
    <row r="87" spans="1:17" ht="20.100000000000001" customHeight="1">
      <c r="A87" s="39" t="s">
        <v>124</v>
      </c>
      <c r="B87" s="18" t="s">
        <v>337</v>
      </c>
      <c r="C87" s="22" t="s">
        <v>7</v>
      </c>
      <c r="D87" s="49">
        <v>199400</v>
      </c>
      <c r="E87" s="21" t="str">
        <f ca="1">TEXT(Table1[[#This Row],[Last Sale Date]],"MMM")</f>
        <v>Dec</v>
      </c>
      <c r="F87" s="27">
        <f ca="1">DATE(2025,11,10) + RANDBETWEEN(0,81)</f>
        <v>46010</v>
      </c>
      <c r="G87" s="49">
        <v>90000</v>
      </c>
      <c r="H87" s="53" t="str">
        <f>TEXT(Table1[[#This Row],[Last Payment Date]],"MMM")</f>
        <v>Dec</v>
      </c>
      <c r="I87" s="28">
        <v>46001</v>
      </c>
      <c r="J87" s="107">
        <f>D87-G87</f>
        <v>109400</v>
      </c>
      <c r="K87" s="21">
        <v>0</v>
      </c>
      <c r="L87" s="21">
        <v>2</v>
      </c>
      <c r="M87" s="34" t="str">
        <f>IF(J87&gt;3000,"Pending","Settled")</f>
        <v>Pending</v>
      </c>
      <c r="N87" s="34" t="str">
        <f>IF(J87&gt;350000,"Critical",
   IF(J87&gt;200000,"Very High",
      IF(J87&gt;100000,"High",
         IF(J87&gt;30000,"Medium","Low"))))</f>
        <v>High</v>
      </c>
      <c r="O87" s="115">
        <f>DATE(2026,1,30) - Table1[[#This Row],[Last Payment Date]]</f>
        <v>51</v>
      </c>
      <c r="P87" s="23" t="str">
        <f>IF(Table1[[#This Row],[Days Since Last Collection]]&lt;=45,"Active", IF(Table1[[#This Row],[Days Since Last Collection]]&lt;=75,"Moderate","Inactive"))</f>
        <v>Moderate</v>
      </c>
      <c r="Q87" s="20"/>
    </row>
    <row r="88" spans="1:17" ht="20.100000000000001" customHeight="1">
      <c r="A88" s="39" t="s">
        <v>127</v>
      </c>
      <c r="B88" s="18" t="s">
        <v>338</v>
      </c>
      <c r="C88" s="22" t="s">
        <v>12</v>
      </c>
      <c r="D88" s="49">
        <v>2469070</v>
      </c>
      <c r="E88" s="21" t="str">
        <f ca="1">TEXT(Table1[[#This Row],[Last Sale Date]],"MMM")</f>
        <v>Dec</v>
      </c>
      <c r="F88" s="27">
        <f ca="1">DATE(2025,11,10) + RANDBETWEEN(0,81)</f>
        <v>45996</v>
      </c>
      <c r="G88" s="49">
        <v>2364000</v>
      </c>
      <c r="H88" s="53" t="str">
        <f>TEXT(Table1[[#This Row],[Last Payment Date]],"MMM")</f>
        <v>Nov</v>
      </c>
      <c r="I88" s="28">
        <v>45974</v>
      </c>
      <c r="J88" s="107">
        <f>D88-G88</f>
        <v>105070</v>
      </c>
      <c r="K88" s="21">
        <v>6</v>
      </c>
      <c r="L88" s="21">
        <v>3</v>
      </c>
      <c r="M88" s="34" t="str">
        <f>IF(J88&gt;3000,"Pending","Settled")</f>
        <v>Pending</v>
      </c>
      <c r="N88" s="34" t="str">
        <f>IF(J88&gt;350000,"Critical",
   IF(J88&gt;200000,"Very High",
      IF(J88&gt;100000,"High",
         IF(J88&gt;30000,"Medium","Low"))))</f>
        <v>High</v>
      </c>
      <c r="O88" s="115">
        <f>DATE(2026,1,30) - Table1[[#This Row],[Last Payment Date]]</f>
        <v>78</v>
      </c>
      <c r="P88" s="23" t="str">
        <f>IF(Table1[[#This Row],[Days Since Last Collection]]&lt;=45,"Active", IF(Table1[[#This Row],[Days Since Last Collection]]&lt;=75,"Moderate","Inactive"))</f>
        <v>Inactive</v>
      </c>
      <c r="Q88" s="20"/>
    </row>
    <row r="89" spans="1:17" ht="20.100000000000001" customHeight="1">
      <c r="A89" s="39" t="s">
        <v>96</v>
      </c>
      <c r="B89" s="18" t="s">
        <v>339</v>
      </c>
      <c r="C89" s="22" t="s">
        <v>5</v>
      </c>
      <c r="D89" s="49">
        <v>1928600</v>
      </c>
      <c r="E89" s="21" t="str">
        <f ca="1">TEXT(Table1[[#This Row],[Last Sale Date]],"MMM")</f>
        <v>Nov</v>
      </c>
      <c r="F89" s="27">
        <f ca="1">DATE(2025,11,10) + RANDBETWEEN(0,81)</f>
        <v>45973</v>
      </c>
      <c r="G89" s="49">
        <v>1745530</v>
      </c>
      <c r="H89" s="53" t="str">
        <f>TEXT(Table1[[#This Row],[Last Payment Date]],"MMM")</f>
        <v>Jan</v>
      </c>
      <c r="I89" s="28">
        <v>46053</v>
      </c>
      <c r="J89" s="107">
        <f>D89-G89</f>
        <v>183070</v>
      </c>
      <c r="K89" s="21">
        <v>4</v>
      </c>
      <c r="L89" s="21">
        <v>3</v>
      </c>
      <c r="M89" s="34" t="str">
        <f>IF(J89&gt;3000,"Pending","Settled")</f>
        <v>Pending</v>
      </c>
      <c r="N89" s="34" t="str">
        <f>IF(J89&gt;350000,"Critical",
   IF(J89&gt;200000,"Very High",
      IF(J89&gt;100000,"High",
         IF(J89&gt;30000,"Medium","Low"))))</f>
        <v>High</v>
      </c>
      <c r="O89" s="115">
        <f>DATE(2026,1,30) - Table1[[#This Row],[Last Payment Date]]</f>
        <v>-1</v>
      </c>
      <c r="P89" s="23" t="str">
        <f>IF(Table1[[#This Row],[Days Since Last Collection]]&lt;=45,"Active", IF(Table1[[#This Row],[Days Since Last Collection]]&lt;=75,"Moderate","Inactive"))</f>
        <v>Active</v>
      </c>
      <c r="Q89" s="20"/>
    </row>
    <row r="90" spans="1:17" ht="20.100000000000001" customHeight="1">
      <c r="A90" s="39" t="s">
        <v>52</v>
      </c>
      <c r="B90" s="18" t="s">
        <v>340</v>
      </c>
      <c r="C90" s="22" t="s">
        <v>7</v>
      </c>
      <c r="D90" s="49">
        <v>1475130</v>
      </c>
      <c r="E90" s="21" t="str">
        <f ca="1">TEXT(Table1[[#This Row],[Last Sale Date]],"MMM")</f>
        <v>Jan</v>
      </c>
      <c r="F90" s="27">
        <f ca="1">DATE(2025,11,10) + RANDBETWEEN(0,81)</f>
        <v>46052</v>
      </c>
      <c r="G90" s="49">
        <v>1116570</v>
      </c>
      <c r="H90" s="53" t="str">
        <f>TEXT(Table1[[#This Row],[Last Payment Date]],"MMM")</f>
        <v>Nov</v>
      </c>
      <c r="I90" s="28">
        <v>45988</v>
      </c>
      <c r="J90" s="107">
        <f>D90-G90</f>
        <v>358560</v>
      </c>
      <c r="K90" s="21">
        <v>6</v>
      </c>
      <c r="L90" s="21">
        <v>7</v>
      </c>
      <c r="M90" s="34" t="str">
        <f>IF(J90&gt;3000,"Pending","Settled")</f>
        <v>Pending</v>
      </c>
      <c r="N90" s="34" t="str">
        <f>IF(J90&gt;350000,"Critical",
   IF(J90&gt;200000,"Very High",
      IF(J90&gt;100000,"High",
         IF(J90&gt;30000,"Medium","Low"))))</f>
        <v>Critical</v>
      </c>
      <c r="O90" s="115">
        <f>DATE(2026,1,30) - Table1[[#This Row],[Last Payment Date]]</f>
        <v>64</v>
      </c>
      <c r="P90" s="23" t="str">
        <f>IF(Table1[[#This Row],[Days Since Last Collection]]&lt;=45,"Active", IF(Table1[[#This Row],[Days Since Last Collection]]&lt;=75,"Moderate","Inactive"))</f>
        <v>Moderate</v>
      </c>
      <c r="Q90" s="20"/>
    </row>
    <row r="91" spans="1:17" ht="20.100000000000001" customHeight="1">
      <c r="A91" s="39" t="s">
        <v>88</v>
      </c>
      <c r="B91" s="18" t="s">
        <v>341</v>
      </c>
      <c r="C91" s="22" t="s">
        <v>4</v>
      </c>
      <c r="D91" s="49">
        <v>2284700</v>
      </c>
      <c r="E91" s="21" t="str">
        <f ca="1">TEXT(Table1[[#This Row],[Last Sale Date]],"MMM")</f>
        <v>Jan</v>
      </c>
      <c r="F91" s="27">
        <f ca="1">DATE(2025,11,10) + RANDBETWEEN(0,81)</f>
        <v>46047</v>
      </c>
      <c r="G91" s="49">
        <v>2066100</v>
      </c>
      <c r="H91" s="53" t="str">
        <f>TEXT(Table1[[#This Row],[Last Payment Date]],"MMM")</f>
        <v>Nov</v>
      </c>
      <c r="I91" s="28">
        <v>45987</v>
      </c>
      <c r="J91" s="107">
        <f>D91-G91</f>
        <v>218600</v>
      </c>
      <c r="K91" s="21">
        <v>5</v>
      </c>
      <c r="L91" s="21">
        <v>11</v>
      </c>
      <c r="M91" s="34" t="str">
        <f>IF(J91&gt;3000,"Pending","Settled")</f>
        <v>Pending</v>
      </c>
      <c r="N91" s="34" t="str">
        <f>IF(J91&gt;350000,"Critical",
   IF(J91&gt;200000,"Very High",
      IF(J91&gt;100000,"High",
         IF(J91&gt;30000,"Medium","Low"))))</f>
        <v>Very High</v>
      </c>
      <c r="O91" s="115">
        <f>DATE(2026,1,30) - Table1[[#This Row],[Last Payment Date]]</f>
        <v>65</v>
      </c>
      <c r="P91" s="23" t="str">
        <f>IF(Table1[[#This Row],[Days Since Last Collection]]&lt;=45,"Active", IF(Table1[[#This Row],[Days Since Last Collection]]&lt;=75,"Moderate","Inactive"))</f>
        <v>Moderate</v>
      </c>
      <c r="Q91" s="20"/>
    </row>
    <row r="92" spans="1:17" ht="20.100000000000001" customHeight="1">
      <c r="A92" s="39" t="s">
        <v>193</v>
      </c>
      <c r="B92" s="18" t="s">
        <v>280</v>
      </c>
      <c r="C92" s="22" t="s">
        <v>5</v>
      </c>
      <c r="D92" s="49">
        <v>18000</v>
      </c>
      <c r="E92" s="21" t="str">
        <f ca="1">TEXT(Table1[[#This Row],[Last Sale Date]],"MMM")</f>
        <v>Dec</v>
      </c>
      <c r="F92" s="27">
        <f ca="1">DATE(2025,11,10) + RANDBETWEEN(0,81)</f>
        <v>45999</v>
      </c>
      <c r="G92" s="49">
        <v>6000</v>
      </c>
      <c r="H92" s="53" t="str">
        <f>TEXT(Table1[[#This Row],[Last Payment Date]],"MMM")</f>
        <v>Nov</v>
      </c>
      <c r="I92" s="28">
        <v>45983</v>
      </c>
      <c r="J92" s="107">
        <f>D92-G92</f>
        <v>12000</v>
      </c>
      <c r="K92" s="21">
        <v>1</v>
      </c>
      <c r="L92" s="21">
        <v>2</v>
      </c>
      <c r="M92" s="34" t="str">
        <f>IF(J92&gt;3000,"Pending","Settled")</f>
        <v>Pending</v>
      </c>
      <c r="N92" s="34" t="str">
        <f>IF(J92&gt;350000,"Critical",
   IF(J92&gt;200000,"Very High",
      IF(J92&gt;100000,"High",
         IF(J92&gt;30000,"Medium","Low"))))</f>
        <v>Low</v>
      </c>
      <c r="O92" s="115">
        <f>DATE(2026,1,30) - Table1[[#This Row],[Last Payment Date]]</f>
        <v>69</v>
      </c>
      <c r="P92" s="23" t="str">
        <f>IF(Table1[[#This Row],[Days Since Last Collection]]&lt;=45,"Active", IF(Table1[[#This Row],[Days Since Last Collection]]&lt;=75,"Moderate","Inactive"))</f>
        <v>Moderate</v>
      </c>
      <c r="Q92" s="20"/>
    </row>
    <row r="93" spans="1:17" ht="20.100000000000001" customHeight="1">
      <c r="A93" s="39" t="s">
        <v>59</v>
      </c>
      <c r="B93" s="18" t="s">
        <v>342</v>
      </c>
      <c r="C93" s="22" t="s">
        <v>6</v>
      </c>
      <c r="D93" s="49">
        <v>1376520</v>
      </c>
      <c r="E93" s="21" t="str">
        <f ca="1">TEXT(Table1[[#This Row],[Last Sale Date]],"MMM")</f>
        <v>Dec</v>
      </c>
      <c r="F93" s="27">
        <f ca="1">DATE(2025,11,10) + RANDBETWEEN(0,81)</f>
        <v>46015</v>
      </c>
      <c r="G93" s="49">
        <v>1051480</v>
      </c>
      <c r="H93" s="53" t="str">
        <f>TEXT(Table1[[#This Row],[Last Payment Date]],"MMM")</f>
        <v>Jan</v>
      </c>
      <c r="I93" s="28">
        <v>46024</v>
      </c>
      <c r="J93" s="107">
        <f>D93-G93</f>
        <v>325040</v>
      </c>
      <c r="K93" s="21">
        <v>4</v>
      </c>
      <c r="L93" s="21">
        <v>2</v>
      </c>
      <c r="M93" s="34" t="str">
        <f>IF(J93&gt;3000,"Pending","Settled")</f>
        <v>Pending</v>
      </c>
      <c r="N93" s="34" t="str">
        <f>IF(J93&gt;350000,"Critical",
   IF(J93&gt;200000,"Very High",
      IF(J93&gt;100000,"High",
         IF(J93&gt;30000,"Medium","Low"))))</f>
        <v>Very High</v>
      </c>
      <c r="O93" s="115">
        <f>DATE(2026,1,30) - Table1[[#This Row],[Last Payment Date]]</f>
        <v>28</v>
      </c>
      <c r="P93" s="23" t="str">
        <f>IF(Table1[[#This Row],[Days Since Last Collection]]&lt;=45,"Active", IF(Table1[[#This Row],[Days Since Last Collection]]&lt;=75,"Moderate","Inactive"))</f>
        <v>Active</v>
      </c>
      <c r="Q93" s="20"/>
    </row>
    <row r="94" spans="1:17" ht="20.100000000000001" customHeight="1">
      <c r="A94" s="39" t="s">
        <v>84</v>
      </c>
      <c r="B94" s="18" t="s">
        <v>343</v>
      </c>
      <c r="C94" s="22" t="s">
        <v>5</v>
      </c>
      <c r="D94" s="49">
        <v>1811020</v>
      </c>
      <c r="E94" s="21" t="str">
        <f ca="1">TEXT(Table1[[#This Row],[Last Sale Date]],"MMM")</f>
        <v>Dec</v>
      </c>
      <c r="F94" s="27">
        <f ca="1">DATE(2025,11,10) + RANDBETWEEN(0,81)</f>
        <v>46000</v>
      </c>
      <c r="G94" s="49">
        <v>1584050</v>
      </c>
      <c r="H94" s="53" t="str">
        <f>TEXT(Table1[[#This Row],[Last Payment Date]],"MMM")</f>
        <v>Dec</v>
      </c>
      <c r="I94" s="28">
        <v>45994</v>
      </c>
      <c r="J94" s="107">
        <f>D94-G94</f>
        <v>226970</v>
      </c>
      <c r="K94" s="21">
        <v>8</v>
      </c>
      <c r="L94" s="21">
        <v>4</v>
      </c>
      <c r="M94" s="34" t="str">
        <f>IF(J94&gt;3000,"Pending","Settled")</f>
        <v>Pending</v>
      </c>
      <c r="N94" s="34" t="str">
        <f>IF(J94&gt;350000,"Critical",
   IF(J94&gt;200000,"Very High",
      IF(J94&gt;100000,"High",
         IF(J94&gt;30000,"Medium","Low"))))</f>
        <v>Very High</v>
      </c>
      <c r="O94" s="115">
        <f>DATE(2026,1,30) - Table1[[#This Row],[Last Payment Date]]</f>
        <v>58</v>
      </c>
      <c r="P94" s="23" t="str">
        <f>IF(Table1[[#This Row],[Days Since Last Collection]]&lt;=45,"Active", IF(Table1[[#This Row],[Days Since Last Collection]]&lt;=75,"Moderate","Inactive"))</f>
        <v>Moderate</v>
      </c>
      <c r="Q94" s="20"/>
    </row>
    <row r="95" spans="1:17" ht="20.100000000000001" customHeight="1">
      <c r="A95" s="39" t="s">
        <v>153</v>
      </c>
      <c r="B95" s="18" t="s">
        <v>344</v>
      </c>
      <c r="C95" s="22" t="s">
        <v>6</v>
      </c>
      <c r="D95" s="49">
        <v>56580</v>
      </c>
      <c r="E95" s="21" t="str">
        <f ca="1">TEXT(Table1[[#This Row],[Last Sale Date]],"MMM")</f>
        <v>Jan</v>
      </c>
      <c r="F95" s="27">
        <f ca="1">DATE(2025,11,10) + RANDBETWEEN(0,81)</f>
        <v>46035</v>
      </c>
      <c r="G95" s="49">
        <v>3000</v>
      </c>
      <c r="H95" s="53" t="str">
        <f>TEXT(Table1[[#This Row],[Last Payment Date]],"MMM")</f>
        <v>Dec</v>
      </c>
      <c r="I95" s="28">
        <v>45995</v>
      </c>
      <c r="J95" s="107">
        <f>D95-G95</f>
        <v>53580</v>
      </c>
      <c r="K95" s="21">
        <v>0</v>
      </c>
      <c r="L95" s="21">
        <v>1</v>
      </c>
      <c r="M95" s="34" t="str">
        <f>IF(J95&gt;3000,"Pending","Settled")</f>
        <v>Pending</v>
      </c>
      <c r="N95" s="34" t="str">
        <f>IF(J95&gt;350000,"Critical",
   IF(J95&gt;200000,"Very High",
      IF(J95&gt;100000,"High",
         IF(J95&gt;30000,"Medium","Low"))))</f>
        <v>Medium</v>
      </c>
      <c r="O95" s="115">
        <f>DATE(2026,1,30) - Table1[[#This Row],[Last Payment Date]]</f>
        <v>57</v>
      </c>
      <c r="P95" s="23" t="str">
        <f>IF(Table1[[#This Row],[Days Since Last Collection]]&lt;=45,"Active", IF(Table1[[#This Row],[Days Since Last Collection]]&lt;=75,"Moderate","Inactive"))</f>
        <v>Moderate</v>
      </c>
      <c r="Q95" s="20"/>
    </row>
    <row r="96" spans="1:17" ht="20.100000000000001" customHeight="1">
      <c r="A96" s="39" t="s">
        <v>133</v>
      </c>
      <c r="B96" s="18" t="s">
        <v>345</v>
      </c>
      <c r="C96" s="22" t="s">
        <v>9</v>
      </c>
      <c r="D96" s="49">
        <v>1355580</v>
      </c>
      <c r="E96" s="21" t="str">
        <f ca="1">TEXT(Table1[[#This Row],[Last Sale Date]],"MMM")</f>
        <v>Dec</v>
      </c>
      <c r="F96" s="27">
        <f ca="1">DATE(2025,11,10) + RANDBETWEEN(0,81)</f>
        <v>46004</v>
      </c>
      <c r="G96" s="49">
        <v>1260400</v>
      </c>
      <c r="H96" s="53" t="str">
        <f>TEXT(Table1[[#This Row],[Last Payment Date]],"MMM")</f>
        <v>Nov</v>
      </c>
      <c r="I96" s="28">
        <v>45982</v>
      </c>
      <c r="J96" s="107">
        <f>D96-G96</f>
        <v>95180</v>
      </c>
      <c r="K96" s="21">
        <v>1</v>
      </c>
      <c r="L96" s="21">
        <v>3</v>
      </c>
      <c r="M96" s="34" t="str">
        <f>IF(J96&gt;3000,"Pending","Settled")</f>
        <v>Pending</v>
      </c>
      <c r="N96" s="34" t="str">
        <f>IF(J96&gt;350000,"Critical",
   IF(J96&gt;200000,"Very High",
      IF(J96&gt;100000,"High",
         IF(J96&gt;30000,"Medium","Low"))))</f>
        <v>Medium</v>
      </c>
      <c r="O96" s="115">
        <f>DATE(2026,1,30) - Table1[[#This Row],[Last Payment Date]]</f>
        <v>70</v>
      </c>
      <c r="P96" s="23" t="str">
        <f>IF(Table1[[#This Row],[Days Since Last Collection]]&lt;=45,"Active", IF(Table1[[#This Row],[Days Since Last Collection]]&lt;=75,"Moderate","Inactive"))</f>
        <v>Moderate</v>
      </c>
      <c r="Q96" s="20"/>
    </row>
    <row r="97" spans="1:17" ht="20.100000000000001" customHeight="1">
      <c r="A97" s="39" t="s">
        <v>64</v>
      </c>
      <c r="B97" s="18" t="s">
        <v>346</v>
      </c>
      <c r="C97" s="22" t="s">
        <v>5</v>
      </c>
      <c r="D97" s="49">
        <v>1717830</v>
      </c>
      <c r="E97" s="21" t="str">
        <f ca="1">TEXT(Table1[[#This Row],[Last Sale Date]],"MMM")</f>
        <v>Dec</v>
      </c>
      <c r="F97" s="27">
        <f ca="1">DATE(2025,11,10) + RANDBETWEEN(0,81)</f>
        <v>46010</v>
      </c>
      <c r="G97" s="49">
        <v>1408020</v>
      </c>
      <c r="H97" s="53" t="str">
        <f>TEXT(Table1[[#This Row],[Last Payment Date]],"MMM")</f>
        <v>Jan</v>
      </c>
      <c r="I97" s="28">
        <v>46029</v>
      </c>
      <c r="J97" s="107">
        <f>D97-G97</f>
        <v>309810</v>
      </c>
      <c r="K97" s="21">
        <v>11</v>
      </c>
      <c r="L97" s="21">
        <v>9</v>
      </c>
      <c r="M97" s="34" t="str">
        <f>IF(J97&gt;3000,"Pending","Settled")</f>
        <v>Pending</v>
      </c>
      <c r="N97" s="34" t="str">
        <f>IF(J97&gt;350000,"Critical",
   IF(J97&gt;200000,"Very High",
      IF(J97&gt;100000,"High",
         IF(J97&gt;30000,"Medium","Low"))))</f>
        <v>Very High</v>
      </c>
      <c r="O97" s="115">
        <f>DATE(2026,1,30) - Table1[[#This Row],[Last Payment Date]]</f>
        <v>23</v>
      </c>
      <c r="P97" s="23" t="str">
        <f>IF(Table1[[#This Row],[Days Since Last Collection]]&lt;=45,"Active", IF(Table1[[#This Row],[Days Since Last Collection]]&lt;=75,"Moderate","Inactive"))</f>
        <v>Active</v>
      </c>
      <c r="Q97" s="20"/>
    </row>
    <row r="98" spans="1:17" ht="20.100000000000001" customHeight="1">
      <c r="A98" s="39" t="s">
        <v>162</v>
      </c>
      <c r="B98" s="18" t="s">
        <v>347</v>
      </c>
      <c r="C98" s="22" t="s">
        <v>8</v>
      </c>
      <c r="D98" s="49">
        <v>53790</v>
      </c>
      <c r="E98" s="21" t="str">
        <f ca="1">TEXT(Table1[[#This Row],[Last Sale Date]],"MMM")</f>
        <v>Jan</v>
      </c>
      <c r="F98" s="27">
        <f ca="1">DATE(2025,11,10) + RANDBETWEEN(0,81)</f>
        <v>46042</v>
      </c>
      <c r="G98" s="49">
        <v>7600</v>
      </c>
      <c r="H98" s="53" t="str">
        <f>TEXT(Table1[[#This Row],[Last Payment Date]],"MMM")</f>
        <v>Dec</v>
      </c>
      <c r="I98" s="28">
        <v>46020</v>
      </c>
      <c r="J98" s="107">
        <f>D98-G98</f>
        <v>46190</v>
      </c>
      <c r="K98" s="21">
        <v>0</v>
      </c>
      <c r="L98" s="21">
        <v>4</v>
      </c>
      <c r="M98" s="34" t="str">
        <f>IF(J98&gt;3000,"Pending","Settled")</f>
        <v>Pending</v>
      </c>
      <c r="N98" s="34" t="str">
        <f>IF(J98&gt;350000,"Critical",
   IF(J98&gt;200000,"Very High",
      IF(J98&gt;100000,"High",
         IF(J98&gt;30000,"Medium","Low"))))</f>
        <v>Medium</v>
      </c>
      <c r="O98" s="115">
        <f>DATE(2026,1,30) - Table1[[#This Row],[Last Payment Date]]</f>
        <v>32</v>
      </c>
      <c r="P98" s="23" t="str">
        <f>IF(Table1[[#This Row],[Days Since Last Collection]]&lt;=45,"Active", IF(Table1[[#This Row],[Days Since Last Collection]]&lt;=75,"Moderate","Inactive"))</f>
        <v>Active</v>
      </c>
      <c r="Q98" s="20"/>
    </row>
    <row r="99" spans="1:17" ht="20.100000000000001" customHeight="1">
      <c r="A99" s="39" t="s">
        <v>203</v>
      </c>
      <c r="B99" s="18" t="s">
        <v>258</v>
      </c>
      <c r="C99" s="22" t="s">
        <v>8</v>
      </c>
      <c r="D99" s="49">
        <v>12750</v>
      </c>
      <c r="E99" s="21" t="str">
        <f ca="1">TEXT(Table1[[#This Row],[Last Sale Date]],"MMM")</f>
        <v>Jan</v>
      </c>
      <c r="F99" s="27">
        <f ca="1">DATE(2025,11,10) + RANDBETWEEN(0,81)</f>
        <v>46031</v>
      </c>
      <c r="G99" s="49">
        <v>5000</v>
      </c>
      <c r="H99" s="53" t="str">
        <f>TEXT(Table1[[#This Row],[Last Payment Date]],"MMM")</f>
        <v>Jan</v>
      </c>
      <c r="I99" s="28">
        <v>46050</v>
      </c>
      <c r="J99" s="107">
        <f>D99-G99</f>
        <v>7750</v>
      </c>
      <c r="K99" s="21">
        <v>0</v>
      </c>
      <c r="L99" s="21">
        <v>4</v>
      </c>
      <c r="M99" s="34" t="str">
        <f>IF(J99&gt;3000,"Pending","Settled")</f>
        <v>Pending</v>
      </c>
      <c r="N99" s="34" t="str">
        <f>IF(J99&gt;350000,"Critical",
   IF(J99&gt;200000,"Very High",
      IF(J99&gt;100000,"High",
         IF(J99&gt;30000,"Medium","Low"))))</f>
        <v>Low</v>
      </c>
      <c r="O99" s="115">
        <f>DATE(2026,1,30) - Table1[[#This Row],[Last Payment Date]]</f>
        <v>2</v>
      </c>
      <c r="P99" s="23" t="str">
        <f>IF(Table1[[#This Row],[Days Since Last Collection]]&lt;=45,"Active", IF(Table1[[#This Row],[Days Since Last Collection]]&lt;=75,"Moderate","Inactive"))</f>
        <v>Active</v>
      </c>
      <c r="Q99" s="20"/>
    </row>
    <row r="100" spans="1:17" ht="20.100000000000001" customHeight="1">
      <c r="A100" s="39" t="s">
        <v>60</v>
      </c>
      <c r="B100" s="18" t="s">
        <v>348</v>
      </c>
      <c r="C100" s="22" t="s">
        <v>8</v>
      </c>
      <c r="D100" s="49">
        <v>365440</v>
      </c>
      <c r="E100" s="21" t="str">
        <f ca="1">TEXT(Table1[[#This Row],[Last Sale Date]],"MMM")</f>
        <v>Nov</v>
      </c>
      <c r="F100" s="27">
        <f ca="1">DATE(2025,11,10) + RANDBETWEEN(0,81)</f>
        <v>45990</v>
      </c>
      <c r="G100" s="49">
        <v>45000</v>
      </c>
      <c r="H100" s="53" t="str">
        <f>TEXT(Table1[[#This Row],[Last Payment Date]],"MMM")</f>
        <v>Jan</v>
      </c>
      <c r="I100" s="28">
        <v>46038</v>
      </c>
      <c r="J100" s="107">
        <f>D100-G100</f>
        <v>320440</v>
      </c>
      <c r="K100" s="21">
        <v>4</v>
      </c>
      <c r="L100" s="21">
        <v>6</v>
      </c>
      <c r="M100" s="34" t="str">
        <f>IF(J100&gt;3000,"Pending","Settled")</f>
        <v>Pending</v>
      </c>
      <c r="N100" s="34" t="str">
        <f>IF(J100&gt;350000,"Critical",
   IF(J100&gt;200000,"Very High",
      IF(J100&gt;100000,"High",
         IF(J100&gt;30000,"Medium","Low"))))</f>
        <v>Very High</v>
      </c>
      <c r="O100" s="115">
        <f>DATE(2026,1,30) - Table1[[#This Row],[Last Payment Date]]</f>
        <v>14</v>
      </c>
      <c r="P100" s="23" t="str">
        <f>IF(Table1[[#This Row],[Days Since Last Collection]]&lt;=45,"Active", IF(Table1[[#This Row],[Days Since Last Collection]]&lt;=75,"Moderate","Inactive"))</f>
        <v>Active</v>
      </c>
      <c r="Q100" s="20"/>
    </row>
    <row r="101" spans="1:17" ht="20.100000000000001" customHeight="1">
      <c r="A101" s="39" t="s">
        <v>189</v>
      </c>
      <c r="B101" s="18" t="s">
        <v>349</v>
      </c>
      <c r="C101" s="22" t="s">
        <v>12</v>
      </c>
      <c r="D101" s="49">
        <v>104700</v>
      </c>
      <c r="E101" s="21" t="str">
        <f ca="1">TEXT(Table1[[#This Row],[Last Sale Date]],"MMM")</f>
        <v>Nov</v>
      </c>
      <c r="F101" s="27">
        <f ca="1">DATE(2025,11,10) + RANDBETWEEN(0,81)</f>
        <v>45983</v>
      </c>
      <c r="G101" s="49">
        <v>91230</v>
      </c>
      <c r="H101" s="53" t="str">
        <f>TEXT(Table1[[#This Row],[Last Payment Date]],"MMM")</f>
        <v>Dec</v>
      </c>
      <c r="I101" s="28">
        <v>46017</v>
      </c>
      <c r="J101" s="107">
        <f>D101-G101</f>
        <v>13470</v>
      </c>
      <c r="K101" s="21">
        <v>5</v>
      </c>
      <c r="L101" s="21">
        <v>1</v>
      </c>
      <c r="M101" s="34" t="str">
        <f>IF(J101&gt;3000,"Pending","Settled")</f>
        <v>Pending</v>
      </c>
      <c r="N101" s="34" t="str">
        <f>IF(J101&gt;350000,"Critical",
   IF(J101&gt;200000,"Very High",
      IF(J101&gt;100000,"High",
         IF(J101&gt;30000,"Medium","Low"))))</f>
        <v>Low</v>
      </c>
      <c r="O101" s="115">
        <f>DATE(2026,1,30) - Table1[[#This Row],[Last Payment Date]]</f>
        <v>35</v>
      </c>
      <c r="P101" s="23" t="str">
        <f>IF(Table1[[#This Row],[Days Since Last Collection]]&lt;=45,"Active", IF(Table1[[#This Row],[Days Since Last Collection]]&lt;=75,"Moderate","Inactive"))</f>
        <v>Active</v>
      </c>
      <c r="Q101" s="20"/>
    </row>
    <row r="102" spans="1:17" ht="20.100000000000001" customHeight="1">
      <c r="A102" s="39" t="s">
        <v>103</v>
      </c>
      <c r="B102" s="18" t="s">
        <v>350</v>
      </c>
      <c r="C102" s="22" t="s">
        <v>5</v>
      </c>
      <c r="D102" s="49">
        <v>2134090</v>
      </c>
      <c r="E102" s="21" t="str">
        <f ca="1">TEXT(Table1[[#This Row],[Last Sale Date]],"MMM")</f>
        <v>Dec</v>
      </c>
      <c r="F102" s="27">
        <f ca="1">DATE(2025,11,10) + RANDBETWEEN(0,81)</f>
        <v>46014</v>
      </c>
      <c r="G102" s="49">
        <v>1971390</v>
      </c>
      <c r="H102" s="53" t="str">
        <f>TEXT(Table1[[#This Row],[Last Payment Date]],"MMM")</f>
        <v>Dec</v>
      </c>
      <c r="I102" s="28">
        <v>46010</v>
      </c>
      <c r="J102" s="107">
        <f>D102-G102</f>
        <v>162700</v>
      </c>
      <c r="K102" s="21">
        <v>2</v>
      </c>
      <c r="L102" s="21">
        <v>8</v>
      </c>
      <c r="M102" s="34" t="str">
        <f>IF(J102&gt;3000,"Pending","Settled")</f>
        <v>Pending</v>
      </c>
      <c r="N102" s="34" t="str">
        <f>IF(J102&gt;350000,"Critical",
   IF(J102&gt;200000,"Very High",
      IF(J102&gt;100000,"High",
         IF(J102&gt;30000,"Medium","Low"))))</f>
        <v>High</v>
      </c>
      <c r="O102" s="115">
        <f>DATE(2026,1,30) - Table1[[#This Row],[Last Payment Date]]</f>
        <v>42</v>
      </c>
      <c r="P102" s="23" t="str">
        <f>IF(Table1[[#This Row],[Days Since Last Collection]]&lt;=45,"Active", IF(Table1[[#This Row],[Days Since Last Collection]]&lt;=75,"Moderate","Inactive"))</f>
        <v>Active</v>
      </c>
      <c r="Q102" s="20"/>
    </row>
    <row r="103" spans="1:17" ht="20.100000000000001" customHeight="1">
      <c r="A103" s="39" t="s">
        <v>69</v>
      </c>
      <c r="B103" s="18" t="s">
        <v>351</v>
      </c>
      <c r="C103" s="22" t="s">
        <v>9</v>
      </c>
      <c r="D103" s="49">
        <v>1443180</v>
      </c>
      <c r="E103" s="21" t="str">
        <f ca="1">TEXT(Table1[[#This Row],[Last Sale Date]],"MMM")</f>
        <v>Dec</v>
      </c>
      <c r="F103" s="27">
        <f ca="1">DATE(2025,11,10) + RANDBETWEEN(0,81)</f>
        <v>45996</v>
      </c>
      <c r="G103" s="49">
        <v>1144740</v>
      </c>
      <c r="H103" s="53" t="str">
        <f>TEXT(Table1[[#This Row],[Last Payment Date]],"MMM")</f>
        <v>Jan</v>
      </c>
      <c r="I103" s="28">
        <v>46033</v>
      </c>
      <c r="J103" s="107">
        <f>D103-G103</f>
        <v>298440</v>
      </c>
      <c r="K103" s="21">
        <v>6</v>
      </c>
      <c r="L103" s="21">
        <v>2</v>
      </c>
      <c r="M103" s="34" t="str">
        <f>IF(J103&gt;3000,"Pending","Settled")</f>
        <v>Pending</v>
      </c>
      <c r="N103" s="34" t="str">
        <f>IF(J103&gt;350000,"Critical",
   IF(J103&gt;200000,"Very High",
      IF(J103&gt;100000,"High",
         IF(J103&gt;30000,"Medium","Low"))))</f>
        <v>Very High</v>
      </c>
      <c r="O103" s="115">
        <f>DATE(2026,1,30) - Table1[[#This Row],[Last Payment Date]]</f>
        <v>19</v>
      </c>
      <c r="P103" s="23" t="str">
        <f>IF(Table1[[#This Row],[Days Since Last Collection]]&lt;=45,"Active", IF(Table1[[#This Row],[Days Since Last Collection]]&lt;=75,"Moderate","Inactive"))</f>
        <v>Active</v>
      </c>
      <c r="Q103" s="20"/>
    </row>
    <row r="104" spans="1:17" ht="20.100000000000001" customHeight="1">
      <c r="A104" s="39" t="s">
        <v>175</v>
      </c>
      <c r="B104" s="18" t="s">
        <v>352</v>
      </c>
      <c r="C104" s="22" t="s">
        <v>12</v>
      </c>
      <c r="D104" s="49">
        <v>160940</v>
      </c>
      <c r="E104" s="21" t="str">
        <f ca="1">TEXT(Table1[[#This Row],[Last Sale Date]],"MMM")</f>
        <v>Dec</v>
      </c>
      <c r="F104" s="27">
        <f ca="1">DATE(2025,11,10) + RANDBETWEEN(0,81)</f>
        <v>46009</v>
      </c>
      <c r="G104" s="49">
        <v>134740</v>
      </c>
      <c r="H104" s="53" t="str">
        <f>TEXT(Table1[[#This Row],[Last Payment Date]],"MMM")</f>
        <v>Jan</v>
      </c>
      <c r="I104" s="28">
        <v>46053</v>
      </c>
      <c r="J104" s="107">
        <f>D104-G104</f>
        <v>26200</v>
      </c>
      <c r="K104" s="21">
        <v>6</v>
      </c>
      <c r="L104" s="21">
        <v>4</v>
      </c>
      <c r="M104" s="34" t="str">
        <f>IF(J104&gt;3000,"Pending","Settled")</f>
        <v>Pending</v>
      </c>
      <c r="N104" s="34" t="str">
        <f>IF(J104&gt;350000,"Critical",
   IF(J104&gt;200000,"Very High",
      IF(J104&gt;100000,"High",
         IF(J104&gt;30000,"Medium","Low"))))</f>
        <v>Low</v>
      </c>
      <c r="O104" s="115">
        <f>DATE(2026,1,30) - Table1[[#This Row],[Last Payment Date]]</f>
        <v>-1</v>
      </c>
      <c r="P104" s="23" t="str">
        <f>IF(Table1[[#This Row],[Days Since Last Collection]]&lt;=45,"Active", IF(Table1[[#This Row],[Days Since Last Collection]]&lt;=75,"Moderate","Inactive"))</f>
        <v>Active</v>
      </c>
      <c r="Q104" s="20"/>
    </row>
    <row r="105" spans="1:17" ht="20.100000000000001" customHeight="1">
      <c r="A105" s="39" t="s">
        <v>126</v>
      </c>
      <c r="B105" s="18" t="s">
        <v>283</v>
      </c>
      <c r="C105" s="22" t="s">
        <v>5</v>
      </c>
      <c r="D105" s="49">
        <v>1677310</v>
      </c>
      <c r="E105" s="21" t="str">
        <f ca="1">TEXT(Table1[[#This Row],[Last Sale Date]],"MMM")</f>
        <v>Dec</v>
      </c>
      <c r="F105" s="27">
        <f ca="1">DATE(2025,11,10) + RANDBETWEEN(0,81)</f>
        <v>46000</v>
      </c>
      <c r="G105" s="49">
        <v>1571410</v>
      </c>
      <c r="H105" s="53" t="str">
        <f>TEXT(Table1[[#This Row],[Last Payment Date]],"MMM")</f>
        <v>Dec</v>
      </c>
      <c r="I105" s="28">
        <v>46021</v>
      </c>
      <c r="J105" s="107">
        <f>D105-G105</f>
        <v>105900</v>
      </c>
      <c r="K105" s="21">
        <v>5</v>
      </c>
      <c r="L105" s="21">
        <v>1</v>
      </c>
      <c r="M105" s="34" t="str">
        <f>IF(J105&gt;3000,"Pending","Settled")</f>
        <v>Pending</v>
      </c>
      <c r="N105" s="34" t="str">
        <f>IF(J105&gt;350000,"Critical",
   IF(J105&gt;200000,"Very High",
      IF(J105&gt;100000,"High",
         IF(J105&gt;30000,"Medium","Low"))))</f>
        <v>High</v>
      </c>
      <c r="O105" s="115">
        <f>DATE(2026,1,30) - Table1[[#This Row],[Last Payment Date]]</f>
        <v>31</v>
      </c>
      <c r="P105" s="23" t="str">
        <f>IF(Table1[[#This Row],[Days Since Last Collection]]&lt;=45,"Active", IF(Table1[[#This Row],[Days Since Last Collection]]&lt;=75,"Moderate","Inactive"))</f>
        <v>Active</v>
      </c>
      <c r="Q105" s="20"/>
    </row>
    <row r="106" spans="1:17" ht="20.100000000000001" customHeight="1">
      <c r="A106" s="39" t="s">
        <v>93</v>
      </c>
      <c r="B106" s="18" t="s">
        <v>268</v>
      </c>
      <c r="C106" s="22" t="s">
        <v>6</v>
      </c>
      <c r="D106" s="49">
        <v>245680</v>
      </c>
      <c r="E106" s="21" t="str">
        <f ca="1">TEXT(Table1[[#This Row],[Last Sale Date]],"MMM")</f>
        <v>Nov</v>
      </c>
      <c r="F106" s="27">
        <f ca="1">DATE(2025,11,10) + RANDBETWEEN(0,81)</f>
        <v>45972</v>
      </c>
      <c r="G106" s="49">
        <v>50000</v>
      </c>
      <c r="H106" s="53" t="str">
        <f>TEXT(Table1[[#This Row],[Last Payment Date]],"MMM")</f>
        <v>Jan</v>
      </c>
      <c r="I106" s="28">
        <v>46023</v>
      </c>
      <c r="J106" s="107">
        <f>D106-G106</f>
        <v>195680</v>
      </c>
      <c r="K106" s="21">
        <v>0</v>
      </c>
      <c r="L106" s="21">
        <v>3</v>
      </c>
      <c r="M106" s="34" t="str">
        <f>IF(J106&gt;3000,"Pending","Settled")</f>
        <v>Pending</v>
      </c>
      <c r="N106" s="34" t="str">
        <f>IF(J106&gt;350000,"Critical",
   IF(J106&gt;200000,"Very High",
      IF(J106&gt;100000,"High",
         IF(J106&gt;30000,"Medium","Low"))))</f>
        <v>High</v>
      </c>
      <c r="O106" s="115">
        <f>DATE(2026,1,30) - Table1[[#This Row],[Last Payment Date]]</f>
        <v>29</v>
      </c>
      <c r="P106" s="23" t="str">
        <f>IF(Table1[[#This Row],[Days Since Last Collection]]&lt;=45,"Active", IF(Table1[[#This Row],[Days Since Last Collection]]&lt;=75,"Moderate","Inactive"))</f>
        <v>Active</v>
      </c>
      <c r="Q106" s="20"/>
    </row>
    <row r="107" spans="1:17" ht="20.100000000000001" customHeight="1">
      <c r="A107" s="39" t="s">
        <v>155</v>
      </c>
      <c r="B107" s="18" t="s">
        <v>353</v>
      </c>
      <c r="C107" s="22" t="s">
        <v>8</v>
      </c>
      <c r="D107" s="49">
        <v>75640</v>
      </c>
      <c r="E107" s="21" t="str">
        <f ca="1">TEXT(Table1[[#This Row],[Last Sale Date]],"MMM")</f>
        <v>Dec</v>
      </c>
      <c r="F107" s="27">
        <f ca="1">DATE(2025,11,10) + RANDBETWEEN(0,81)</f>
        <v>46020</v>
      </c>
      <c r="G107" s="49">
        <v>25000</v>
      </c>
      <c r="H107" s="53" t="str">
        <f>TEXT(Table1[[#This Row],[Last Payment Date]],"MMM")</f>
        <v>Dec</v>
      </c>
      <c r="I107" s="28">
        <v>45992</v>
      </c>
      <c r="J107" s="107">
        <f>D107-G107</f>
        <v>50640</v>
      </c>
      <c r="K107" s="21">
        <v>0</v>
      </c>
      <c r="L107" s="21">
        <v>1</v>
      </c>
      <c r="M107" s="34" t="str">
        <f>IF(J107&gt;3000,"Pending","Settled")</f>
        <v>Pending</v>
      </c>
      <c r="N107" s="34" t="str">
        <f>IF(J107&gt;350000,"Critical",
   IF(J107&gt;200000,"Very High",
      IF(J107&gt;100000,"High",
         IF(J107&gt;30000,"Medium","Low"))))</f>
        <v>Medium</v>
      </c>
      <c r="O107" s="115">
        <f>DATE(2026,1,30) - Table1[[#This Row],[Last Payment Date]]</f>
        <v>60</v>
      </c>
      <c r="P107" s="23" t="str">
        <f>IF(Table1[[#This Row],[Days Since Last Collection]]&lt;=45,"Active", IF(Table1[[#This Row],[Days Since Last Collection]]&lt;=75,"Moderate","Inactive"))</f>
        <v>Moderate</v>
      </c>
      <c r="Q107" s="20"/>
    </row>
    <row r="108" spans="1:17" ht="20.100000000000001" customHeight="1">
      <c r="A108" s="39" t="s">
        <v>45</v>
      </c>
      <c r="B108" s="18" t="s">
        <v>354</v>
      </c>
      <c r="C108" s="22" t="s">
        <v>8</v>
      </c>
      <c r="D108" s="49">
        <v>2288580</v>
      </c>
      <c r="E108" s="21" t="str">
        <f ca="1">TEXT(Table1[[#This Row],[Last Sale Date]],"MMM")</f>
        <v>Dec</v>
      </c>
      <c r="F108" s="27">
        <f ca="1">DATE(2025,11,10) + RANDBETWEEN(0,81)</f>
        <v>46012</v>
      </c>
      <c r="G108" s="49">
        <v>1863300</v>
      </c>
      <c r="H108" s="53" t="str">
        <f>TEXT(Table1[[#This Row],[Last Payment Date]],"MMM")</f>
        <v>Dec</v>
      </c>
      <c r="I108" s="28">
        <v>45995</v>
      </c>
      <c r="J108" s="107">
        <f>D108-G108</f>
        <v>425280</v>
      </c>
      <c r="K108" s="21">
        <v>4</v>
      </c>
      <c r="L108" s="21">
        <v>2</v>
      </c>
      <c r="M108" s="34" t="str">
        <f>IF(J108&gt;3000,"Pending","Settled")</f>
        <v>Pending</v>
      </c>
      <c r="N108" s="34" t="str">
        <f>IF(J108&gt;350000,"Critical",
   IF(J108&gt;200000,"Very High",
      IF(J108&gt;100000,"High",
         IF(J108&gt;30000,"Medium","Low"))))</f>
        <v>Critical</v>
      </c>
      <c r="O108" s="115">
        <f>DATE(2026,1,30) - Table1[[#This Row],[Last Payment Date]]</f>
        <v>57</v>
      </c>
      <c r="P108" s="23" t="str">
        <f>IF(Table1[[#This Row],[Days Since Last Collection]]&lt;=45,"Active", IF(Table1[[#This Row],[Days Since Last Collection]]&lt;=75,"Moderate","Inactive"))</f>
        <v>Moderate</v>
      </c>
      <c r="Q108" s="20"/>
    </row>
    <row r="109" spans="1:17" ht="20.100000000000001" customHeight="1">
      <c r="A109" s="39" t="s">
        <v>49</v>
      </c>
      <c r="B109" s="18" t="s">
        <v>355</v>
      </c>
      <c r="C109" s="22" t="s">
        <v>4</v>
      </c>
      <c r="D109" s="49">
        <v>2116520</v>
      </c>
      <c r="E109" s="21" t="str">
        <f ca="1">TEXT(Table1[[#This Row],[Last Sale Date]],"MMM")</f>
        <v>Nov</v>
      </c>
      <c r="F109" s="27">
        <f ca="1">DATE(2025,11,10) + RANDBETWEEN(0,81)</f>
        <v>45986</v>
      </c>
      <c r="G109" s="49">
        <v>1731840</v>
      </c>
      <c r="H109" s="53" t="str">
        <f>TEXT(Table1[[#This Row],[Last Payment Date]],"MMM")</f>
        <v>Jan</v>
      </c>
      <c r="I109" s="28">
        <v>46039</v>
      </c>
      <c r="J109" s="107">
        <f>D109-G109</f>
        <v>384680</v>
      </c>
      <c r="K109" s="21">
        <v>4</v>
      </c>
      <c r="L109" s="21">
        <v>8</v>
      </c>
      <c r="M109" s="34" t="str">
        <f>IF(J109&gt;3000,"Pending","Settled")</f>
        <v>Pending</v>
      </c>
      <c r="N109" s="34" t="str">
        <f>IF(J109&gt;350000,"Critical",
   IF(J109&gt;200000,"Very High",
      IF(J109&gt;100000,"High",
         IF(J109&gt;30000,"Medium","Low"))))</f>
        <v>Critical</v>
      </c>
      <c r="O109" s="115">
        <f>DATE(2026,1,30) - Table1[[#This Row],[Last Payment Date]]</f>
        <v>13</v>
      </c>
      <c r="P109" s="23" t="str">
        <f>IF(Table1[[#This Row],[Days Since Last Collection]]&lt;=45,"Active", IF(Table1[[#This Row],[Days Since Last Collection]]&lt;=75,"Moderate","Inactive"))</f>
        <v>Active</v>
      </c>
      <c r="Q109" s="20"/>
    </row>
    <row r="110" spans="1:17" ht="20.100000000000001" customHeight="1">
      <c r="A110" s="39" t="s">
        <v>78</v>
      </c>
      <c r="B110" s="18" t="s">
        <v>356</v>
      </c>
      <c r="C110" s="22" t="s">
        <v>11</v>
      </c>
      <c r="D110" s="49">
        <v>1002370</v>
      </c>
      <c r="E110" s="21" t="str">
        <f ca="1">TEXT(Table1[[#This Row],[Last Sale Date]],"MMM")</f>
        <v>Nov</v>
      </c>
      <c r="F110" s="27">
        <f ca="1">DATE(2025,11,10) + RANDBETWEEN(0,81)</f>
        <v>45991</v>
      </c>
      <c r="G110" s="49">
        <v>736360</v>
      </c>
      <c r="H110" s="53" t="str">
        <f>TEXT(Table1[[#This Row],[Last Payment Date]],"MMM")</f>
        <v>Jan</v>
      </c>
      <c r="I110" s="28">
        <v>46036</v>
      </c>
      <c r="J110" s="107">
        <f>D110-G110</f>
        <v>266010</v>
      </c>
      <c r="K110" s="21">
        <v>6</v>
      </c>
      <c r="L110" s="21">
        <v>2</v>
      </c>
      <c r="M110" s="34" t="str">
        <f>IF(J110&gt;3000,"Pending","Settled")</f>
        <v>Pending</v>
      </c>
      <c r="N110" s="34" t="str">
        <f>IF(J110&gt;350000,"Critical",
   IF(J110&gt;200000,"Very High",
      IF(J110&gt;100000,"High",
         IF(J110&gt;30000,"Medium","Low"))))</f>
        <v>Very High</v>
      </c>
      <c r="O110" s="115">
        <f>DATE(2026,1,30) - Table1[[#This Row],[Last Payment Date]]</f>
        <v>16</v>
      </c>
      <c r="P110" s="23" t="str">
        <f>IF(Table1[[#This Row],[Days Since Last Collection]]&lt;=45,"Active", IF(Table1[[#This Row],[Days Since Last Collection]]&lt;=75,"Moderate","Inactive"))</f>
        <v>Active</v>
      </c>
      <c r="Q110" s="20"/>
    </row>
    <row r="111" spans="1:17" ht="20.100000000000001" customHeight="1">
      <c r="A111" s="39" t="s">
        <v>67</v>
      </c>
      <c r="B111" s="18" t="s">
        <v>357</v>
      </c>
      <c r="C111" s="22" t="s">
        <v>8</v>
      </c>
      <c r="D111" s="49">
        <v>1160280</v>
      </c>
      <c r="E111" s="21" t="str">
        <f ca="1">TEXT(Table1[[#This Row],[Last Sale Date]],"MMM")</f>
        <v>Dec</v>
      </c>
      <c r="F111" s="27">
        <f ca="1">DATE(2025,11,10) + RANDBETWEEN(0,81)</f>
        <v>46020</v>
      </c>
      <c r="G111" s="49">
        <v>855240</v>
      </c>
      <c r="H111" s="53" t="str">
        <f>TEXT(Table1[[#This Row],[Last Payment Date]],"MMM")</f>
        <v>Dec</v>
      </c>
      <c r="I111" s="28">
        <v>46000</v>
      </c>
      <c r="J111" s="107">
        <f>D111-G111</f>
        <v>305040</v>
      </c>
      <c r="K111" s="21">
        <v>5</v>
      </c>
      <c r="L111" s="21">
        <v>1</v>
      </c>
      <c r="M111" s="34" t="str">
        <f>IF(J111&gt;3000,"Pending","Settled")</f>
        <v>Pending</v>
      </c>
      <c r="N111" s="34" t="str">
        <f>IF(J111&gt;350000,"Critical",
   IF(J111&gt;200000,"Very High",
      IF(J111&gt;100000,"High",
         IF(J111&gt;30000,"Medium","Low"))))</f>
        <v>Very High</v>
      </c>
      <c r="O111" s="115">
        <f>DATE(2026,1,30) - Table1[[#This Row],[Last Payment Date]]</f>
        <v>52</v>
      </c>
      <c r="P111" s="23" t="str">
        <f>IF(Table1[[#This Row],[Days Since Last Collection]]&lt;=45,"Active", IF(Table1[[#This Row],[Days Since Last Collection]]&lt;=75,"Moderate","Inactive"))</f>
        <v>Moderate</v>
      </c>
      <c r="Q111" s="20"/>
    </row>
    <row r="112" spans="1:17" ht="20.100000000000001" customHeight="1">
      <c r="A112" s="39" t="s">
        <v>196</v>
      </c>
      <c r="B112" s="18" t="s">
        <v>358</v>
      </c>
      <c r="C112" s="22" t="s">
        <v>12</v>
      </c>
      <c r="D112" s="49">
        <v>193650</v>
      </c>
      <c r="E112" s="21" t="str">
        <f ca="1">TEXT(Table1[[#This Row],[Last Sale Date]],"MMM")</f>
        <v>Dec</v>
      </c>
      <c r="F112" s="27">
        <f ca="1">DATE(2025,11,10) + RANDBETWEEN(0,81)</f>
        <v>46020</v>
      </c>
      <c r="G112" s="49">
        <v>183070</v>
      </c>
      <c r="H112" s="53" t="str">
        <f>TEXT(Table1[[#This Row],[Last Payment Date]],"MMM")</f>
        <v>Jan</v>
      </c>
      <c r="I112" s="28">
        <v>46027</v>
      </c>
      <c r="J112" s="107">
        <f>D112-G112</f>
        <v>10580</v>
      </c>
      <c r="K112" s="21">
        <v>1</v>
      </c>
      <c r="L112" s="21">
        <v>3</v>
      </c>
      <c r="M112" s="34" t="str">
        <f>IF(J112&gt;3000,"Pending","Settled")</f>
        <v>Pending</v>
      </c>
      <c r="N112" s="34" t="str">
        <f>IF(J112&gt;350000,"Critical",
   IF(J112&gt;200000,"Very High",
      IF(J112&gt;100000,"High",
         IF(J112&gt;30000,"Medium","Low"))))</f>
        <v>Low</v>
      </c>
      <c r="O112" s="115">
        <f>DATE(2026,1,30) - Table1[[#This Row],[Last Payment Date]]</f>
        <v>25</v>
      </c>
      <c r="P112" s="23" t="str">
        <f>IF(Table1[[#This Row],[Days Since Last Collection]]&lt;=45,"Active", IF(Table1[[#This Row],[Days Since Last Collection]]&lt;=75,"Moderate","Inactive"))</f>
        <v>Active</v>
      </c>
      <c r="Q112" s="20"/>
    </row>
    <row r="113" spans="1:17" ht="20.100000000000001" customHeight="1">
      <c r="A113" s="39" t="s">
        <v>145</v>
      </c>
      <c r="B113" s="18" t="s">
        <v>359</v>
      </c>
      <c r="C113" s="22" t="s">
        <v>11</v>
      </c>
      <c r="D113" s="49">
        <v>159000</v>
      </c>
      <c r="E113" s="21" t="str">
        <f ca="1">TEXT(Table1[[#This Row],[Last Sale Date]],"MMM")</f>
        <v>Jan</v>
      </c>
      <c r="F113" s="27">
        <f ca="1">DATE(2025,11,10) + RANDBETWEEN(0,81)</f>
        <v>46037</v>
      </c>
      <c r="G113" s="49">
        <v>89380</v>
      </c>
      <c r="H113" s="53" t="str">
        <f>TEXT(Table1[[#This Row],[Last Payment Date]],"MMM")</f>
        <v>Jan</v>
      </c>
      <c r="I113" s="28">
        <v>46046</v>
      </c>
      <c r="J113" s="107">
        <f>D113-G113</f>
        <v>69620</v>
      </c>
      <c r="K113" s="21">
        <v>4</v>
      </c>
      <c r="L113" s="21">
        <v>4</v>
      </c>
      <c r="M113" s="34" t="str">
        <f>IF(J113&gt;3000,"Pending","Settled")</f>
        <v>Pending</v>
      </c>
      <c r="N113" s="34" t="str">
        <f>IF(J113&gt;350000,"Critical",
   IF(J113&gt;200000,"Very High",
      IF(J113&gt;100000,"High",
         IF(J113&gt;30000,"Medium","Low"))))</f>
        <v>Medium</v>
      </c>
      <c r="O113" s="115">
        <f>DATE(2026,1,30) - Table1[[#This Row],[Last Payment Date]]</f>
        <v>6</v>
      </c>
      <c r="P113" s="23" t="str">
        <f>IF(Table1[[#This Row],[Days Since Last Collection]]&lt;=45,"Active", IF(Table1[[#This Row],[Days Since Last Collection]]&lt;=75,"Moderate","Inactive"))</f>
        <v>Active</v>
      </c>
      <c r="Q113" s="20"/>
    </row>
    <row r="114" spans="1:17" ht="20.100000000000001" customHeight="1">
      <c r="A114" s="39" t="s">
        <v>152</v>
      </c>
      <c r="B114" s="18" t="s">
        <v>360</v>
      </c>
      <c r="C114" s="22" t="s">
        <v>11</v>
      </c>
      <c r="D114" s="49">
        <v>1476360</v>
      </c>
      <c r="E114" s="21" t="str">
        <f ca="1">TEXT(Table1[[#This Row],[Last Sale Date]],"MMM")</f>
        <v>Nov</v>
      </c>
      <c r="F114" s="27">
        <f ca="1">DATE(2025,11,10) + RANDBETWEEN(0,81)</f>
        <v>45975</v>
      </c>
      <c r="G114" s="49">
        <v>1422080</v>
      </c>
      <c r="H114" s="53" t="str">
        <f>TEXT(Table1[[#This Row],[Last Payment Date]],"MMM")</f>
        <v>Dec</v>
      </c>
      <c r="I114" s="28">
        <v>46009</v>
      </c>
      <c r="J114" s="107">
        <f>D114-G114</f>
        <v>54280</v>
      </c>
      <c r="K114" s="21">
        <v>5</v>
      </c>
      <c r="L114" s="21">
        <v>3</v>
      </c>
      <c r="M114" s="34" t="str">
        <f>IF(J114&gt;3000,"Pending","Settled")</f>
        <v>Pending</v>
      </c>
      <c r="N114" s="34" t="str">
        <f>IF(J114&gt;350000,"Critical",
   IF(J114&gt;200000,"Very High",
      IF(J114&gt;100000,"High",
         IF(J114&gt;30000,"Medium","Low"))))</f>
        <v>Medium</v>
      </c>
      <c r="O114" s="115">
        <f>DATE(2026,1,30) - Table1[[#This Row],[Last Payment Date]]</f>
        <v>43</v>
      </c>
      <c r="P114" s="23" t="str">
        <f>IF(Table1[[#This Row],[Days Since Last Collection]]&lt;=45,"Active", IF(Table1[[#This Row],[Days Since Last Collection]]&lt;=75,"Moderate","Inactive"))</f>
        <v>Active</v>
      </c>
      <c r="Q114" s="20"/>
    </row>
    <row r="115" spans="1:17" ht="20.100000000000001" customHeight="1">
      <c r="A115" s="39" t="s">
        <v>128</v>
      </c>
      <c r="B115" s="18" t="s">
        <v>361</v>
      </c>
      <c r="C115" s="22" t="s">
        <v>6</v>
      </c>
      <c r="D115" s="49">
        <v>1201640</v>
      </c>
      <c r="E115" s="21" t="str">
        <f ca="1">TEXT(Table1[[#This Row],[Last Sale Date]],"MMM")</f>
        <v>Dec</v>
      </c>
      <c r="F115" s="27">
        <f ca="1">DATE(2025,11,10) + RANDBETWEEN(0,81)</f>
        <v>45992</v>
      </c>
      <c r="G115" s="49">
        <v>1100040</v>
      </c>
      <c r="H115" s="53" t="str">
        <f>TEXT(Table1[[#This Row],[Last Payment Date]],"MMM")</f>
        <v>Dec</v>
      </c>
      <c r="I115" s="28">
        <v>45995</v>
      </c>
      <c r="J115" s="107">
        <f>D115-G115</f>
        <v>101600</v>
      </c>
      <c r="K115" s="21">
        <v>1</v>
      </c>
      <c r="L115" s="21">
        <v>4</v>
      </c>
      <c r="M115" s="34" t="str">
        <f>IF(J115&gt;3000,"Pending","Settled")</f>
        <v>Pending</v>
      </c>
      <c r="N115" s="34" t="str">
        <f>IF(J115&gt;350000,"Critical",
   IF(J115&gt;200000,"Very High",
      IF(J115&gt;100000,"High",
         IF(J115&gt;30000,"Medium","Low"))))</f>
        <v>High</v>
      </c>
      <c r="O115" s="115">
        <f>DATE(2026,1,30) - Table1[[#This Row],[Last Payment Date]]</f>
        <v>57</v>
      </c>
      <c r="P115" s="23" t="str">
        <f>IF(Table1[[#This Row],[Days Since Last Collection]]&lt;=45,"Active", IF(Table1[[#This Row],[Days Since Last Collection]]&lt;=75,"Moderate","Inactive"))</f>
        <v>Moderate</v>
      </c>
      <c r="Q115" s="20"/>
    </row>
    <row r="116" spans="1:17" ht="20.100000000000001" customHeight="1">
      <c r="A116" s="39" t="s">
        <v>48</v>
      </c>
      <c r="B116" s="18" t="s">
        <v>362</v>
      </c>
      <c r="C116" s="22" t="s">
        <v>4</v>
      </c>
      <c r="D116" s="49">
        <v>1040690</v>
      </c>
      <c r="E116" s="21" t="str">
        <f ca="1">TEXT(Table1[[#This Row],[Last Sale Date]],"MMM")</f>
        <v>Jan</v>
      </c>
      <c r="F116" s="27">
        <f ca="1">DATE(2025,11,10) + RANDBETWEEN(0,81)</f>
        <v>46027</v>
      </c>
      <c r="G116" s="49">
        <v>649120</v>
      </c>
      <c r="H116" s="53" t="str">
        <f>TEXT(Table1[[#This Row],[Last Payment Date]],"MMM")</f>
        <v>Jan</v>
      </c>
      <c r="I116" s="28">
        <v>46032</v>
      </c>
      <c r="J116" s="107">
        <f>D116-G116</f>
        <v>391570</v>
      </c>
      <c r="K116" s="21">
        <v>3</v>
      </c>
      <c r="L116" s="21">
        <v>4</v>
      </c>
      <c r="M116" s="34" t="str">
        <f>IF(J116&gt;3000,"Pending","Settled")</f>
        <v>Pending</v>
      </c>
      <c r="N116" s="34" t="str">
        <f>IF(J116&gt;350000,"Critical",
   IF(J116&gt;200000,"Very High",
      IF(J116&gt;100000,"High",
         IF(J116&gt;30000,"Medium","Low"))))</f>
        <v>Critical</v>
      </c>
      <c r="O116" s="115">
        <f>DATE(2026,1,30) - Table1[[#This Row],[Last Payment Date]]</f>
        <v>20</v>
      </c>
      <c r="P116" s="23" t="str">
        <f>IF(Table1[[#This Row],[Days Since Last Collection]]&lt;=45,"Active", IF(Table1[[#This Row],[Days Since Last Collection]]&lt;=75,"Moderate","Inactive"))</f>
        <v>Active</v>
      </c>
      <c r="Q116" s="20"/>
    </row>
    <row r="117" spans="1:17" ht="20.100000000000001" customHeight="1">
      <c r="A117" s="39" t="s">
        <v>148</v>
      </c>
      <c r="B117" s="18" t="s">
        <v>363</v>
      </c>
      <c r="C117" s="22" t="s">
        <v>4</v>
      </c>
      <c r="D117" s="49">
        <v>2172060</v>
      </c>
      <c r="E117" s="21" t="str">
        <f ca="1">TEXT(Table1[[#This Row],[Last Sale Date]],"MMM")</f>
        <v>Dec</v>
      </c>
      <c r="F117" s="27">
        <f ca="1">DATE(2025,11,10) + RANDBETWEEN(0,81)</f>
        <v>46003</v>
      </c>
      <c r="G117" s="49">
        <v>2114160</v>
      </c>
      <c r="H117" s="53" t="str">
        <f>TEXT(Table1[[#This Row],[Last Payment Date]],"MMM")</f>
        <v>Nov</v>
      </c>
      <c r="I117" s="28">
        <v>45990</v>
      </c>
      <c r="J117" s="107">
        <f>D117-G117</f>
        <v>57900</v>
      </c>
      <c r="K117" s="21">
        <v>6</v>
      </c>
      <c r="L117" s="21">
        <v>4</v>
      </c>
      <c r="M117" s="34" t="str">
        <f>IF(J117&gt;3000,"Pending","Settled")</f>
        <v>Pending</v>
      </c>
      <c r="N117" s="34" t="str">
        <f>IF(J117&gt;350000,"Critical",
   IF(J117&gt;200000,"Very High",
      IF(J117&gt;100000,"High",
         IF(J117&gt;30000,"Medium","Low"))))</f>
        <v>Medium</v>
      </c>
      <c r="O117" s="115">
        <f>DATE(2026,1,30) - Table1[[#This Row],[Last Payment Date]]</f>
        <v>62</v>
      </c>
      <c r="P117" s="23" t="str">
        <f>IF(Table1[[#This Row],[Days Since Last Collection]]&lt;=45,"Active", IF(Table1[[#This Row],[Days Since Last Collection]]&lt;=75,"Moderate","Inactive"))</f>
        <v>Moderate</v>
      </c>
      <c r="Q117" s="20"/>
    </row>
    <row r="118" spans="1:17" ht="20.100000000000001" customHeight="1">
      <c r="A118" s="39" t="s">
        <v>80</v>
      </c>
      <c r="B118" s="18" t="s">
        <v>300</v>
      </c>
      <c r="C118" s="22" t="s">
        <v>6</v>
      </c>
      <c r="D118" s="49">
        <v>1099020</v>
      </c>
      <c r="E118" s="21" t="str">
        <f ca="1">TEXT(Table1[[#This Row],[Last Sale Date]],"MMM")</f>
        <v>Nov</v>
      </c>
      <c r="F118" s="27">
        <f ca="1">DATE(2025,11,10) + RANDBETWEEN(0,81)</f>
        <v>45976</v>
      </c>
      <c r="G118" s="49">
        <v>838650</v>
      </c>
      <c r="H118" s="53" t="str">
        <f>TEXT(Table1[[#This Row],[Last Payment Date]],"MMM")</f>
        <v>Dec</v>
      </c>
      <c r="I118" s="28">
        <v>45992</v>
      </c>
      <c r="J118" s="107">
        <f>D118-G118</f>
        <v>260370</v>
      </c>
      <c r="K118" s="21">
        <v>6</v>
      </c>
      <c r="L118" s="21">
        <v>3</v>
      </c>
      <c r="M118" s="34" t="str">
        <f>IF(J118&gt;3000,"Pending","Settled")</f>
        <v>Pending</v>
      </c>
      <c r="N118" s="34" t="str">
        <f>IF(J118&gt;350000,"Critical",
   IF(J118&gt;200000,"Very High",
      IF(J118&gt;100000,"High",
         IF(J118&gt;30000,"Medium","Low"))))</f>
        <v>Very High</v>
      </c>
      <c r="O118" s="115">
        <f>DATE(2026,1,30) - Table1[[#This Row],[Last Payment Date]]</f>
        <v>60</v>
      </c>
      <c r="P118" s="23" t="str">
        <f>IF(Table1[[#This Row],[Days Since Last Collection]]&lt;=45,"Active", IF(Table1[[#This Row],[Days Since Last Collection]]&lt;=75,"Moderate","Inactive"))</f>
        <v>Moderate</v>
      </c>
      <c r="Q118" s="20"/>
    </row>
    <row r="119" spans="1:17" ht="20.100000000000001" customHeight="1">
      <c r="A119" s="39" t="s">
        <v>82</v>
      </c>
      <c r="B119" s="18" t="s">
        <v>364</v>
      </c>
      <c r="C119" s="22" t="s">
        <v>6</v>
      </c>
      <c r="D119" s="49">
        <v>2440560</v>
      </c>
      <c r="E119" s="21" t="str">
        <f ca="1">TEXT(Table1[[#This Row],[Last Sale Date]],"MMM")</f>
        <v>Dec</v>
      </c>
      <c r="F119" s="27">
        <f ca="1">DATE(2025,11,10) + RANDBETWEEN(0,81)</f>
        <v>46021</v>
      </c>
      <c r="G119" s="49">
        <v>2202140</v>
      </c>
      <c r="H119" s="53" t="str">
        <f>TEXT(Table1[[#This Row],[Last Payment Date]],"MMM")</f>
        <v>Jan</v>
      </c>
      <c r="I119" s="28">
        <v>46052</v>
      </c>
      <c r="J119" s="107">
        <f>D119-G119</f>
        <v>238420</v>
      </c>
      <c r="K119" s="21">
        <v>4</v>
      </c>
      <c r="L119" s="21">
        <v>1</v>
      </c>
      <c r="M119" s="34" t="str">
        <f>IF(J119&gt;3000,"Pending","Settled")</f>
        <v>Pending</v>
      </c>
      <c r="N119" s="34" t="str">
        <f>IF(J119&gt;350000,"Critical",
   IF(J119&gt;200000,"Very High",
      IF(J119&gt;100000,"High",
         IF(J119&gt;30000,"Medium","Low"))))</f>
        <v>Very High</v>
      </c>
      <c r="O119" s="115">
        <f>DATE(2026,1,30) - Table1[[#This Row],[Last Payment Date]]</f>
        <v>0</v>
      </c>
      <c r="P119" s="23" t="str">
        <f>IF(Table1[[#This Row],[Days Since Last Collection]]&lt;=45,"Active", IF(Table1[[#This Row],[Days Since Last Collection]]&lt;=75,"Moderate","Inactive"))</f>
        <v>Active</v>
      </c>
      <c r="Q119" s="20"/>
    </row>
    <row r="120" spans="1:17" ht="20.100000000000001" customHeight="1">
      <c r="A120" s="39" t="s">
        <v>178</v>
      </c>
      <c r="B120" s="18" t="s">
        <v>365</v>
      </c>
      <c r="C120" s="22" t="s">
        <v>11</v>
      </c>
      <c r="D120" s="49">
        <v>1958960</v>
      </c>
      <c r="E120" s="21" t="str">
        <f ca="1">TEXT(Table1[[#This Row],[Last Sale Date]],"MMM")</f>
        <v>Jan</v>
      </c>
      <c r="F120" s="27">
        <f ca="1">DATE(2025,11,10) + RANDBETWEEN(0,81)</f>
        <v>46051</v>
      </c>
      <c r="G120" s="49">
        <v>1935400</v>
      </c>
      <c r="H120" s="53" t="str">
        <f>TEXT(Table1[[#This Row],[Last Payment Date]],"MMM")</f>
        <v>Nov</v>
      </c>
      <c r="I120" s="28">
        <v>45978</v>
      </c>
      <c r="J120" s="107">
        <f>D120-G120</f>
        <v>23560</v>
      </c>
      <c r="K120" s="21">
        <v>1</v>
      </c>
      <c r="L120" s="21">
        <v>2</v>
      </c>
      <c r="M120" s="34" t="str">
        <f>IF(J120&gt;3000,"Pending","Settled")</f>
        <v>Pending</v>
      </c>
      <c r="N120" s="34" t="str">
        <f>IF(J120&gt;350000,"Critical",
   IF(J120&gt;200000,"Very High",
      IF(J120&gt;100000,"High",
         IF(J120&gt;30000,"Medium","Low"))))</f>
        <v>Low</v>
      </c>
      <c r="O120" s="115">
        <f>DATE(2026,1,30) - Table1[[#This Row],[Last Payment Date]]</f>
        <v>74</v>
      </c>
      <c r="P120" s="23" t="str">
        <f>IF(Table1[[#This Row],[Days Since Last Collection]]&lt;=45,"Active", IF(Table1[[#This Row],[Days Since Last Collection]]&lt;=75,"Moderate","Inactive"))</f>
        <v>Moderate</v>
      </c>
      <c r="Q120" s="20"/>
    </row>
    <row r="121" spans="1:17" ht="20.100000000000001" customHeight="1">
      <c r="A121" s="39" t="s">
        <v>184</v>
      </c>
      <c r="B121" s="18" t="s">
        <v>366</v>
      </c>
      <c r="C121" s="22" t="s">
        <v>8</v>
      </c>
      <c r="D121" s="49">
        <v>1887270</v>
      </c>
      <c r="E121" s="21" t="str">
        <f ca="1">TEXT(Table1[[#This Row],[Last Sale Date]],"MMM")</f>
        <v>Jan</v>
      </c>
      <c r="F121" s="27">
        <f ca="1">DATE(2025,11,10) + RANDBETWEEN(0,81)</f>
        <v>46035</v>
      </c>
      <c r="G121" s="49">
        <v>1870200</v>
      </c>
      <c r="H121" s="53" t="str">
        <f>TEXT(Table1[[#This Row],[Last Payment Date]],"MMM")</f>
        <v>Jan</v>
      </c>
      <c r="I121" s="28">
        <v>46036</v>
      </c>
      <c r="J121" s="107">
        <f>D121-G121</f>
        <v>17070</v>
      </c>
      <c r="K121" s="21">
        <v>3</v>
      </c>
      <c r="L121" s="21">
        <v>1</v>
      </c>
      <c r="M121" s="34" t="str">
        <f>IF(J121&gt;3000,"Pending","Settled")</f>
        <v>Pending</v>
      </c>
      <c r="N121" s="34" t="str">
        <f>IF(J121&gt;350000,"Critical",
   IF(J121&gt;200000,"Very High",
      IF(J121&gt;100000,"High",
         IF(J121&gt;30000,"Medium","Low"))))</f>
        <v>Low</v>
      </c>
      <c r="O121" s="115">
        <f>DATE(2026,1,30) - Table1[[#This Row],[Last Payment Date]]</f>
        <v>16</v>
      </c>
      <c r="P121" s="23" t="str">
        <f>IF(Table1[[#This Row],[Days Since Last Collection]]&lt;=45,"Active", IF(Table1[[#This Row],[Days Since Last Collection]]&lt;=75,"Moderate","Inactive"))</f>
        <v>Active</v>
      </c>
      <c r="Q121" s="20"/>
    </row>
    <row r="122" spans="1:17" ht="20.100000000000001" customHeight="1">
      <c r="A122" s="39" t="s">
        <v>194</v>
      </c>
      <c r="B122" s="18" t="s">
        <v>367</v>
      </c>
      <c r="C122" s="22" t="s">
        <v>11</v>
      </c>
      <c r="D122" s="49">
        <v>211000</v>
      </c>
      <c r="E122" s="21" t="str">
        <f ca="1">TEXT(Table1[[#This Row],[Last Sale Date]],"MMM")</f>
        <v>Dec</v>
      </c>
      <c r="F122" s="27">
        <f ca="1">DATE(2025,11,10) + RANDBETWEEN(0,81)</f>
        <v>46021</v>
      </c>
      <c r="G122" s="49">
        <v>200000</v>
      </c>
      <c r="H122" s="53" t="str">
        <f>TEXT(Table1[[#This Row],[Last Payment Date]],"MMM")</f>
        <v>Nov</v>
      </c>
      <c r="I122" s="28">
        <v>45973</v>
      </c>
      <c r="J122" s="107">
        <f>D122-G122</f>
        <v>11000</v>
      </c>
      <c r="K122" s="21">
        <v>2</v>
      </c>
      <c r="L122" s="21">
        <v>2</v>
      </c>
      <c r="M122" s="34" t="str">
        <f>IF(J122&gt;3000,"Pending","Settled")</f>
        <v>Pending</v>
      </c>
      <c r="N122" s="34" t="str">
        <f>IF(J122&gt;350000,"Critical",
   IF(J122&gt;200000,"Very High",
      IF(J122&gt;100000,"High",
         IF(J122&gt;30000,"Medium","Low"))))</f>
        <v>Low</v>
      </c>
      <c r="O122" s="115">
        <f>DATE(2026,1,30) - Table1[[#This Row],[Last Payment Date]]</f>
        <v>79</v>
      </c>
      <c r="P122" s="23" t="str">
        <f>IF(Table1[[#This Row],[Days Since Last Collection]]&lt;=45,"Active", IF(Table1[[#This Row],[Days Since Last Collection]]&lt;=75,"Moderate","Inactive"))</f>
        <v>Inactive</v>
      </c>
      <c r="Q122" s="20"/>
    </row>
    <row r="123" spans="1:17" ht="20.100000000000001" customHeight="1">
      <c r="A123" s="39" t="s">
        <v>70</v>
      </c>
      <c r="B123" s="18" t="s">
        <v>368</v>
      </c>
      <c r="C123" s="22" t="s">
        <v>4</v>
      </c>
      <c r="D123" s="49">
        <v>2396700</v>
      </c>
      <c r="E123" s="21" t="str">
        <f ca="1">TEXT(Table1[[#This Row],[Last Sale Date]],"MMM")</f>
        <v>Nov</v>
      </c>
      <c r="F123" s="27">
        <f ca="1">DATE(2025,11,10) + RANDBETWEEN(0,81)</f>
        <v>45971</v>
      </c>
      <c r="G123" s="49">
        <v>2106110</v>
      </c>
      <c r="H123" s="53" t="str">
        <f>TEXT(Table1[[#This Row],[Last Payment Date]],"MMM")</f>
        <v>Jan</v>
      </c>
      <c r="I123" s="28">
        <v>46050</v>
      </c>
      <c r="J123" s="107">
        <f>D123-G123</f>
        <v>290590</v>
      </c>
      <c r="K123" s="21">
        <v>5</v>
      </c>
      <c r="L123" s="21">
        <v>2</v>
      </c>
      <c r="M123" s="34" t="str">
        <f>IF(J123&gt;3000,"Pending","Settled")</f>
        <v>Pending</v>
      </c>
      <c r="N123" s="34" t="str">
        <f>IF(J123&gt;350000,"Critical",
   IF(J123&gt;200000,"Very High",
      IF(J123&gt;100000,"High",
         IF(J123&gt;30000,"Medium","Low"))))</f>
        <v>Very High</v>
      </c>
      <c r="O123" s="115">
        <f>DATE(2026,1,30) - Table1[[#This Row],[Last Payment Date]]</f>
        <v>2</v>
      </c>
      <c r="P123" s="23" t="str">
        <f>IF(Table1[[#This Row],[Days Since Last Collection]]&lt;=45,"Active", IF(Table1[[#This Row],[Days Since Last Collection]]&lt;=75,"Moderate","Inactive"))</f>
        <v>Active</v>
      </c>
      <c r="Q123" s="20"/>
    </row>
    <row r="124" spans="1:17" ht="20.100000000000001" customHeight="1">
      <c r="A124" s="39" t="s">
        <v>118</v>
      </c>
      <c r="B124" s="18" t="s">
        <v>369</v>
      </c>
      <c r="C124" s="22" t="s">
        <v>9</v>
      </c>
      <c r="D124" s="49">
        <v>2445780</v>
      </c>
      <c r="E124" s="21" t="str">
        <f ca="1">TEXT(Table1[[#This Row],[Last Sale Date]],"MMM")</f>
        <v>Dec</v>
      </c>
      <c r="F124" s="27">
        <f ca="1">DATE(2025,11,10) + RANDBETWEEN(0,81)</f>
        <v>45998</v>
      </c>
      <c r="G124" s="49">
        <v>2328320</v>
      </c>
      <c r="H124" s="53" t="str">
        <f>TEXT(Table1[[#This Row],[Last Payment Date]],"MMM")</f>
        <v>Jan</v>
      </c>
      <c r="I124" s="28">
        <v>46034</v>
      </c>
      <c r="J124" s="107">
        <f>D124-G124</f>
        <v>117460</v>
      </c>
      <c r="K124" s="21">
        <v>6</v>
      </c>
      <c r="L124" s="21">
        <v>2</v>
      </c>
      <c r="M124" s="34" t="str">
        <f>IF(J124&gt;3000,"Pending","Settled")</f>
        <v>Pending</v>
      </c>
      <c r="N124" s="34" t="str">
        <f>IF(J124&gt;350000,"Critical",
   IF(J124&gt;200000,"Very High",
      IF(J124&gt;100000,"High",
         IF(J124&gt;30000,"Medium","Low"))))</f>
        <v>High</v>
      </c>
      <c r="O124" s="115">
        <f>DATE(2026,1,30) - Table1[[#This Row],[Last Payment Date]]</f>
        <v>18</v>
      </c>
      <c r="P124" s="23" t="str">
        <f>IF(Table1[[#This Row],[Days Since Last Collection]]&lt;=45,"Active", IF(Table1[[#This Row],[Days Since Last Collection]]&lt;=75,"Moderate","Inactive"))</f>
        <v>Active</v>
      </c>
      <c r="Q124" s="20"/>
    </row>
    <row r="125" spans="1:17" ht="20.100000000000001" customHeight="1">
      <c r="A125" s="39" t="s">
        <v>43</v>
      </c>
      <c r="B125" s="18" t="s">
        <v>370</v>
      </c>
      <c r="C125" s="22" t="s">
        <v>11</v>
      </c>
      <c r="D125" s="49">
        <v>2465580</v>
      </c>
      <c r="E125" s="21" t="str">
        <f ca="1">TEXT(Table1[[#This Row],[Last Sale Date]],"MMM")</f>
        <v>Dec</v>
      </c>
      <c r="F125" s="27">
        <f ca="1">DATE(2025,11,10) + RANDBETWEEN(0,81)</f>
        <v>46008</v>
      </c>
      <c r="G125" s="49">
        <v>2037210</v>
      </c>
      <c r="H125" s="53" t="str">
        <f>TEXT(Table1[[#This Row],[Last Payment Date]],"MMM")</f>
        <v>Jan</v>
      </c>
      <c r="I125" s="28">
        <v>46028</v>
      </c>
      <c r="J125" s="107">
        <f>D125-G125</f>
        <v>428370</v>
      </c>
      <c r="K125" s="21">
        <v>3</v>
      </c>
      <c r="L125" s="21">
        <v>3</v>
      </c>
      <c r="M125" s="34" t="str">
        <f>IF(J125&gt;3000,"Pending","Settled")</f>
        <v>Pending</v>
      </c>
      <c r="N125" s="34" t="str">
        <f>IF(J125&gt;350000,"Critical",
   IF(J125&gt;200000,"Very High",
      IF(J125&gt;100000,"High",
         IF(J125&gt;30000,"Medium","Low"))))</f>
        <v>Critical</v>
      </c>
      <c r="O125" s="115">
        <f>DATE(2026,1,30) - Table1[[#This Row],[Last Payment Date]]</f>
        <v>24</v>
      </c>
      <c r="P125" s="23" t="str">
        <f>IF(Table1[[#This Row],[Days Since Last Collection]]&lt;=45,"Active", IF(Table1[[#This Row],[Days Since Last Collection]]&lt;=75,"Moderate","Inactive"))</f>
        <v>Active</v>
      </c>
      <c r="Q125" s="20"/>
    </row>
    <row r="126" spans="1:17" ht="20.100000000000001" customHeight="1">
      <c r="A126" s="39" t="s">
        <v>142</v>
      </c>
      <c r="B126" s="18" t="s">
        <v>371</v>
      </c>
      <c r="C126" s="22" t="s">
        <v>11</v>
      </c>
      <c r="D126" s="49">
        <v>1897950</v>
      </c>
      <c r="E126" s="21" t="str">
        <f ca="1">TEXT(Table1[[#This Row],[Last Sale Date]],"MMM")</f>
        <v>Nov</v>
      </c>
      <c r="F126" s="27">
        <f ca="1">DATE(2025,11,10) + RANDBETWEEN(0,81)</f>
        <v>45976</v>
      </c>
      <c r="G126" s="49">
        <v>1826830</v>
      </c>
      <c r="H126" s="53" t="str">
        <f>TEXT(Table1[[#This Row],[Last Payment Date]],"MMM")</f>
        <v>Nov</v>
      </c>
      <c r="I126" s="28">
        <v>45981</v>
      </c>
      <c r="J126" s="107">
        <f>D126-G126</f>
        <v>71120</v>
      </c>
      <c r="K126" s="21">
        <v>3</v>
      </c>
      <c r="L126" s="21">
        <v>3</v>
      </c>
      <c r="M126" s="34" t="str">
        <f>IF(J126&gt;3000,"Pending","Settled")</f>
        <v>Pending</v>
      </c>
      <c r="N126" s="34" t="str">
        <f>IF(J126&gt;350000,"Critical",
   IF(J126&gt;200000,"Very High",
      IF(J126&gt;100000,"High",
         IF(J126&gt;30000,"Medium","Low"))))</f>
        <v>Medium</v>
      </c>
      <c r="O126" s="115">
        <f>DATE(2026,1,30) - Table1[[#This Row],[Last Payment Date]]</f>
        <v>71</v>
      </c>
      <c r="P126" s="23" t="str">
        <f>IF(Table1[[#This Row],[Days Since Last Collection]]&lt;=45,"Active", IF(Table1[[#This Row],[Days Since Last Collection]]&lt;=75,"Moderate","Inactive"))</f>
        <v>Moderate</v>
      </c>
      <c r="Q126" s="20"/>
    </row>
    <row r="127" spans="1:17" ht="20.100000000000001" customHeight="1">
      <c r="A127" s="39" t="s">
        <v>149</v>
      </c>
      <c r="B127" s="18" t="s">
        <v>372</v>
      </c>
      <c r="C127" s="22" t="s">
        <v>11</v>
      </c>
      <c r="D127" s="49">
        <v>65660</v>
      </c>
      <c r="E127" s="21" t="str">
        <f ca="1">TEXT(Table1[[#This Row],[Last Sale Date]],"MMM")</f>
        <v>Jan</v>
      </c>
      <c r="F127" s="27">
        <f ca="1">DATE(2025,11,10) + RANDBETWEEN(0,81)</f>
        <v>46046</v>
      </c>
      <c r="G127" s="49">
        <v>10000</v>
      </c>
      <c r="H127" s="53" t="str">
        <f>TEXT(Table1[[#This Row],[Last Payment Date]],"MMM")</f>
        <v>Nov</v>
      </c>
      <c r="I127" s="28">
        <v>45986</v>
      </c>
      <c r="J127" s="107">
        <f>D127-G127</f>
        <v>55660</v>
      </c>
      <c r="K127" s="21">
        <v>1</v>
      </c>
      <c r="L127" s="21">
        <v>2</v>
      </c>
      <c r="M127" s="34" t="str">
        <f>IF(J127&gt;3000,"Pending","Settled")</f>
        <v>Pending</v>
      </c>
      <c r="N127" s="34" t="str">
        <f>IF(J127&gt;350000,"Critical",
   IF(J127&gt;200000,"Very High",
      IF(J127&gt;100000,"High",
         IF(J127&gt;30000,"Medium","Low"))))</f>
        <v>Medium</v>
      </c>
      <c r="O127" s="115">
        <f>DATE(2026,1,30) - Table1[[#This Row],[Last Payment Date]]</f>
        <v>66</v>
      </c>
      <c r="P127" s="23" t="str">
        <f>IF(Table1[[#This Row],[Days Since Last Collection]]&lt;=45,"Active", IF(Table1[[#This Row],[Days Since Last Collection]]&lt;=75,"Moderate","Inactive"))</f>
        <v>Moderate</v>
      </c>
      <c r="Q127" s="20"/>
    </row>
    <row r="128" spans="1:17" ht="20.100000000000001" customHeight="1">
      <c r="A128" s="39" t="s">
        <v>134</v>
      </c>
      <c r="B128" s="18" t="s">
        <v>373</v>
      </c>
      <c r="C128" s="22" t="s">
        <v>8</v>
      </c>
      <c r="D128" s="49">
        <v>129010</v>
      </c>
      <c r="E128" s="21" t="str">
        <f ca="1">TEXT(Table1[[#This Row],[Last Sale Date]],"MMM")</f>
        <v>Jan</v>
      </c>
      <c r="F128" s="27">
        <f ca="1">DATE(2025,11,10) + RANDBETWEEN(0,81)</f>
        <v>46031</v>
      </c>
      <c r="G128" s="49">
        <v>40000</v>
      </c>
      <c r="H128" s="53" t="str">
        <f>TEXT(Table1[[#This Row],[Last Payment Date]],"MMM")</f>
        <v>Nov</v>
      </c>
      <c r="I128" s="28">
        <v>45982</v>
      </c>
      <c r="J128" s="107">
        <f>D128-G128</f>
        <v>89010</v>
      </c>
      <c r="K128" s="21">
        <v>3</v>
      </c>
      <c r="L128" s="21">
        <v>2</v>
      </c>
      <c r="M128" s="34" t="str">
        <f>IF(J128&gt;3000,"Pending","Settled")</f>
        <v>Pending</v>
      </c>
      <c r="N128" s="34" t="str">
        <f>IF(J128&gt;350000,"Critical",
   IF(J128&gt;200000,"Very High",
      IF(J128&gt;100000,"High",
         IF(J128&gt;30000,"Medium","Low"))))</f>
        <v>Medium</v>
      </c>
      <c r="O128" s="115">
        <f>DATE(2026,1,30) - Table1[[#This Row],[Last Payment Date]]</f>
        <v>70</v>
      </c>
      <c r="P128" s="23" t="str">
        <f>IF(Table1[[#This Row],[Days Since Last Collection]]&lt;=45,"Active", IF(Table1[[#This Row],[Days Since Last Collection]]&lt;=75,"Moderate","Inactive"))</f>
        <v>Moderate</v>
      </c>
      <c r="Q128" s="20"/>
    </row>
    <row r="129" spans="1:17" ht="20.100000000000001" customHeight="1">
      <c r="A129" s="39" t="s">
        <v>150</v>
      </c>
      <c r="B129" s="18" t="s">
        <v>269</v>
      </c>
      <c r="C129" s="22" t="s">
        <v>11</v>
      </c>
      <c r="D129" s="49">
        <v>65470</v>
      </c>
      <c r="E129" s="21" t="str">
        <f ca="1">TEXT(Table1[[#This Row],[Last Sale Date]],"MMM")</f>
        <v>Jan</v>
      </c>
      <c r="F129" s="27">
        <f ca="1">DATE(2025,11,10) + RANDBETWEEN(0,81)</f>
        <v>46036</v>
      </c>
      <c r="G129" s="49">
        <v>10000</v>
      </c>
      <c r="H129" s="53" t="str">
        <f>TEXT(Table1[[#This Row],[Last Payment Date]],"MMM")</f>
        <v>Jan</v>
      </c>
      <c r="I129" s="28">
        <v>46023</v>
      </c>
      <c r="J129" s="107">
        <f>D129-G129</f>
        <v>55470</v>
      </c>
      <c r="K129" s="21">
        <v>1</v>
      </c>
      <c r="L129" s="21">
        <v>3</v>
      </c>
      <c r="M129" s="34" t="str">
        <f>IF(J129&gt;3000,"Pending","Settled")</f>
        <v>Pending</v>
      </c>
      <c r="N129" s="34" t="str">
        <f>IF(J129&gt;350000,"Critical",
   IF(J129&gt;200000,"Very High",
      IF(J129&gt;100000,"High",
         IF(J129&gt;30000,"Medium","Low"))))</f>
        <v>Medium</v>
      </c>
      <c r="O129" s="115">
        <f>DATE(2026,1,30) - Table1[[#This Row],[Last Payment Date]]</f>
        <v>29</v>
      </c>
      <c r="P129" s="23" t="str">
        <f>IF(Table1[[#This Row],[Days Since Last Collection]]&lt;=45,"Active", IF(Table1[[#This Row],[Days Since Last Collection]]&lt;=75,"Moderate","Inactive"))</f>
        <v>Active</v>
      </c>
      <c r="Q129" s="20"/>
    </row>
    <row r="130" spans="1:17" ht="20.100000000000001" customHeight="1">
      <c r="A130" s="39" t="s">
        <v>190</v>
      </c>
      <c r="B130" s="18" t="s">
        <v>374</v>
      </c>
      <c r="C130" s="22" t="s">
        <v>12</v>
      </c>
      <c r="D130" s="49">
        <v>153930</v>
      </c>
      <c r="E130" s="21" t="str">
        <f ca="1">TEXT(Table1[[#This Row],[Last Sale Date]],"MMM")</f>
        <v>Dec</v>
      </c>
      <c r="F130" s="27">
        <f ca="1">DATE(2025,11,10) + RANDBETWEEN(0,81)</f>
        <v>46001</v>
      </c>
      <c r="G130" s="49">
        <v>140900</v>
      </c>
      <c r="H130" s="53" t="str">
        <f>TEXT(Table1[[#This Row],[Last Payment Date]],"MMM")</f>
        <v>Jan</v>
      </c>
      <c r="I130" s="28">
        <v>46027</v>
      </c>
      <c r="J130" s="107">
        <f>D130-G130</f>
        <v>13030</v>
      </c>
      <c r="K130" s="21">
        <v>2</v>
      </c>
      <c r="L130" s="21">
        <v>4</v>
      </c>
      <c r="M130" s="34" t="str">
        <f>IF(J130&gt;3000,"Pending","Settled")</f>
        <v>Pending</v>
      </c>
      <c r="N130" s="34" t="str">
        <f>IF(J130&gt;350000,"Critical",
   IF(J130&gt;200000,"Very High",
      IF(J130&gt;100000,"High",
         IF(J130&gt;30000,"Medium","Low"))))</f>
        <v>Low</v>
      </c>
      <c r="O130" s="115">
        <f>DATE(2026,1,30) - Table1[[#This Row],[Last Payment Date]]</f>
        <v>25</v>
      </c>
      <c r="P130" s="23" t="str">
        <f>IF(Table1[[#This Row],[Days Since Last Collection]]&lt;=45,"Active", IF(Table1[[#This Row],[Days Since Last Collection]]&lt;=75,"Moderate","Inactive"))</f>
        <v>Active</v>
      </c>
      <c r="Q130" s="20"/>
    </row>
    <row r="131" spans="1:17" ht="20.100000000000001" customHeight="1">
      <c r="A131" s="39" t="s">
        <v>97</v>
      </c>
      <c r="B131" s="18" t="s">
        <v>337</v>
      </c>
      <c r="C131" s="22" t="s">
        <v>12</v>
      </c>
      <c r="D131" s="49">
        <v>2255980</v>
      </c>
      <c r="E131" s="21" t="str">
        <f ca="1">TEXT(Table1[[#This Row],[Last Sale Date]],"MMM")</f>
        <v>Nov</v>
      </c>
      <c r="F131" s="27">
        <f ca="1">DATE(2025,11,10) + RANDBETWEEN(0,81)</f>
        <v>45988</v>
      </c>
      <c r="G131" s="49">
        <v>2080460</v>
      </c>
      <c r="H131" s="53" t="str">
        <f>TEXT(Table1[[#This Row],[Last Payment Date]],"MMM")</f>
        <v>Dec</v>
      </c>
      <c r="I131" s="28">
        <v>46018</v>
      </c>
      <c r="J131" s="107">
        <f>D131-G131</f>
        <v>175520</v>
      </c>
      <c r="K131" s="21">
        <v>1</v>
      </c>
      <c r="L131" s="21">
        <v>4</v>
      </c>
      <c r="M131" s="34" t="str">
        <f>IF(J131&gt;3000,"Pending","Settled")</f>
        <v>Pending</v>
      </c>
      <c r="N131" s="34" t="str">
        <f>IF(J131&gt;350000,"Critical",
   IF(J131&gt;200000,"Very High",
      IF(J131&gt;100000,"High",
         IF(J131&gt;30000,"Medium","Low"))))</f>
        <v>High</v>
      </c>
      <c r="O131" s="115">
        <f>DATE(2026,1,30) - Table1[[#This Row],[Last Payment Date]]</f>
        <v>34</v>
      </c>
      <c r="P131" s="23" t="str">
        <f>IF(Table1[[#This Row],[Days Since Last Collection]]&lt;=45,"Active", IF(Table1[[#This Row],[Days Since Last Collection]]&lt;=75,"Moderate","Inactive"))</f>
        <v>Active</v>
      </c>
      <c r="Q131" s="20"/>
    </row>
    <row r="132" spans="1:17" ht="20.100000000000001" customHeight="1">
      <c r="A132" s="39" t="s">
        <v>58</v>
      </c>
      <c r="B132" s="18" t="s">
        <v>375</v>
      </c>
      <c r="C132" s="22" t="s">
        <v>11</v>
      </c>
      <c r="D132" s="49">
        <v>1344340</v>
      </c>
      <c r="E132" s="21" t="str">
        <f ca="1">TEXT(Table1[[#This Row],[Last Sale Date]],"MMM")</f>
        <v>Dec</v>
      </c>
      <c r="F132" s="27">
        <f ca="1">DATE(2025,11,10) + RANDBETWEEN(0,81)</f>
        <v>46022</v>
      </c>
      <c r="G132" s="49">
        <v>1017210</v>
      </c>
      <c r="H132" s="53" t="str">
        <f>TEXT(Table1[[#This Row],[Last Payment Date]],"MMM")</f>
        <v>Dec</v>
      </c>
      <c r="I132" s="28">
        <v>46018</v>
      </c>
      <c r="J132" s="107">
        <f>D132-G132</f>
        <v>327130</v>
      </c>
      <c r="K132" s="21">
        <v>2</v>
      </c>
      <c r="L132" s="21">
        <v>1</v>
      </c>
      <c r="M132" s="34" t="str">
        <f>IF(J132&gt;3000,"Pending","Settled")</f>
        <v>Pending</v>
      </c>
      <c r="N132" s="34" t="str">
        <f>IF(J132&gt;350000,"Critical",
   IF(J132&gt;200000,"Very High",
      IF(J132&gt;100000,"High",
         IF(J132&gt;30000,"Medium","Low"))))</f>
        <v>Very High</v>
      </c>
      <c r="O132" s="115">
        <f>DATE(2026,1,30) - Table1[[#This Row],[Last Payment Date]]</f>
        <v>34</v>
      </c>
      <c r="P132" s="23" t="str">
        <f>IF(Table1[[#This Row],[Days Since Last Collection]]&lt;=45,"Active", IF(Table1[[#This Row],[Days Since Last Collection]]&lt;=75,"Moderate","Inactive"))</f>
        <v>Active</v>
      </c>
      <c r="Q132" s="20"/>
    </row>
    <row r="133" spans="1:17" ht="20.100000000000001" customHeight="1">
      <c r="A133" s="39" t="s">
        <v>62</v>
      </c>
      <c r="B133" s="18" t="s">
        <v>376</v>
      </c>
      <c r="C133" s="22" t="s">
        <v>11</v>
      </c>
      <c r="D133" s="49">
        <v>1317850</v>
      </c>
      <c r="E133" s="21" t="str">
        <f ca="1">TEXT(Table1[[#This Row],[Last Sale Date]],"MMM")</f>
        <v>Dec</v>
      </c>
      <c r="F133" s="27">
        <f ca="1">DATE(2025,11,10) + RANDBETWEEN(0,81)</f>
        <v>46020</v>
      </c>
      <c r="G133" s="49">
        <v>999050</v>
      </c>
      <c r="H133" s="53" t="str">
        <f>TEXT(Table1[[#This Row],[Last Payment Date]],"MMM")</f>
        <v>Nov</v>
      </c>
      <c r="I133" s="28">
        <v>45984</v>
      </c>
      <c r="J133" s="107">
        <f>D133-G133</f>
        <v>318800</v>
      </c>
      <c r="K133" s="21">
        <v>2</v>
      </c>
      <c r="L133" s="21">
        <v>4</v>
      </c>
      <c r="M133" s="34" t="str">
        <f>IF(J133&gt;3000,"Pending","Settled")</f>
        <v>Pending</v>
      </c>
      <c r="N133" s="34" t="str">
        <f>IF(J133&gt;350000,"Critical",
   IF(J133&gt;200000,"Very High",
      IF(J133&gt;100000,"High",
         IF(J133&gt;30000,"Medium","Low"))))</f>
        <v>Very High</v>
      </c>
      <c r="O133" s="115">
        <f>DATE(2026,1,30) - Table1[[#This Row],[Last Payment Date]]</f>
        <v>68</v>
      </c>
      <c r="P133" s="23" t="str">
        <f>IF(Table1[[#This Row],[Days Since Last Collection]]&lt;=45,"Active", IF(Table1[[#This Row],[Days Since Last Collection]]&lt;=75,"Moderate","Inactive"))</f>
        <v>Moderate</v>
      </c>
      <c r="Q133" s="20"/>
    </row>
    <row r="134" spans="1:17" ht="20.100000000000001" customHeight="1">
      <c r="A134" s="39" t="s">
        <v>77</v>
      </c>
      <c r="B134" s="18" t="s">
        <v>377</v>
      </c>
      <c r="C134" s="22" t="s">
        <v>6</v>
      </c>
      <c r="D134" s="49">
        <v>2022840</v>
      </c>
      <c r="E134" s="21" t="str">
        <f ca="1">TEXT(Table1[[#This Row],[Last Sale Date]],"MMM")</f>
        <v>Jan</v>
      </c>
      <c r="F134" s="27">
        <f ca="1">DATE(2025,11,10) + RANDBETWEEN(0,81)</f>
        <v>46039</v>
      </c>
      <c r="G134" s="49">
        <v>1756390</v>
      </c>
      <c r="H134" s="53" t="str">
        <f>TEXT(Table1[[#This Row],[Last Payment Date]],"MMM")</f>
        <v>Nov</v>
      </c>
      <c r="I134" s="28">
        <v>45975</v>
      </c>
      <c r="J134" s="107">
        <f>D134-G134</f>
        <v>266450</v>
      </c>
      <c r="K134" s="21">
        <v>2</v>
      </c>
      <c r="L134" s="21">
        <v>3</v>
      </c>
      <c r="M134" s="34" t="str">
        <f>IF(J134&gt;3000,"Pending","Settled")</f>
        <v>Pending</v>
      </c>
      <c r="N134" s="34" t="str">
        <f>IF(J134&gt;350000,"Critical",
   IF(J134&gt;200000,"Very High",
      IF(J134&gt;100000,"High",
         IF(J134&gt;30000,"Medium","Low"))))</f>
        <v>Very High</v>
      </c>
      <c r="O134" s="115">
        <f>DATE(2026,1,30) - Table1[[#This Row],[Last Payment Date]]</f>
        <v>77</v>
      </c>
      <c r="P134" s="23" t="str">
        <f>IF(Table1[[#This Row],[Days Since Last Collection]]&lt;=45,"Active", IF(Table1[[#This Row],[Days Since Last Collection]]&lt;=75,"Moderate","Inactive"))</f>
        <v>Inactive</v>
      </c>
      <c r="Q134" s="20"/>
    </row>
    <row r="135" spans="1:17" ht="20.100000000000001" customHeight="1">
      <c r="A135" s="39" t="s">
        <v>171</v>
      </c>
      <c r="B135" s="18" t="s">
        <v>378</v>
      </c>
      <c r="C135" s="22" t="s">
        <v>11</v>
      </c>
      <c r="D135" s="49">
        <v>184490</v>
      </c>
      <c r="E135" s="21" t="str">
        <f ca="1">TEXT(Table1[[#This Row],[Last Sale Date]],"MMM")</f>
        <v>Nov</v>
      </c>
      <c r="F135" s="27">
        <f ca="1">DATE(2025,11,10) + RANDBETWEEN(0,81)</f>
        <v>45976</v>
      </c>
      <c r="G135" s="49">
        <v>156490</v>
      </c>
      <c r="H135" s="53" t="str">
        <f>TEXT(Table1[[#This Row],[Last Payment Date]],"MMM")</f>
        <v>Jan</v>
      </c>
      <c r="I135" s="28">
        <v>46026</v>
      </c>
      <c r="J135" s="107">
        <f>D135-G135</f>
        <v>28000</v>
      </c>
      <c r="K135" s="21">
        <v>3</v>
      </c>
      <c r="L135" s="21">
        <v>3</v>
      </c>
      <c r="M135" s="34" t="str">
        <f>IF(J135&gt;3000,"Pending","Settled")</f>
        <v>Pending</v>
      </c>
      <c r="N135" s="34" t="str">
        <f>IF(J135&gt;350000,"Critical",
   IF(J135&gt;200000,"Very High",
      IF(J135&gt;100000,"High",
         IF(J135&gt;30000,"Medium","Low"))))</f>
        <v>Low</v>
      </c>
      <c r="O135" s="115">
        <f>DATE(2026,1,30) - Table1[[#This Row],[Last Payment Date]]</f>
        <v>26</v>
      </c>
      <c r="P135" s="23" t="str">
        <f>IF(Table1[[#This Row],[Days Since Last Collection]]&lt;=45,"Active", IF(Table1[[#This Row],[Days Since Last Collection]]&lt;=75,"Moderate","Inactive"))</f>
        <v>Active</v>
      </c>
      <c r="Q135" s="20"/>
    </row>
    <row r="136" spans="1:17" ht="20.100000000000001" customHeight="1">
      <c r="A136" s="39" t="s">
        <v>207</v>
      </c>
      <c r="B136" s="18" t="s">
        <v>294</v>
      </c>
      <c r="C136" s="22" t="s">
        <v>8</v>
      </c>
      <c r="D136" s="49">
        <v>56660</v>
      </c>
      <c r="E136" s="21" t="str">
        <f ca="1">TEXT(Table1[[#This Row],[Last Sale Date]],"MMM")</f>
        <v>Nov</v>
      </c>
      <c r="F136" s="27">
        <f ca="1">DATE(2025,11,10) + RANDBETWEEN(0,81)</f>
        <v>45975</v>
      </c>
      <c r="G136" s="49">
        <v>50000</v>
      </c>
      <c r="H136" s="53" t="str">
        <f>TEXT(Table1[[#This Row],[Last Payment Date]],"MMM")</f>
        <v>Dec</v>
      </c>
      <c r="I136" s="28">
        <v>46005</v>
      </c>
      <c r="J136" s="107">
        <f>D136-G136</f>
        <v>6660</v>
      </c>
      <c r="K136" s="21">
        <v>1</v>
      </c>
      <c r="L136" s="21">
        <v>2</v>
      </c>
      <c r="M136" s="34" t="str">
        <f>IF(J136&gt;3000,"Pending","Settled")</f>
        <v>Pending</v>
      </c>
      <c r="N136" s="34" t="str">
        <f>IF(J136&gt;350000,"Critical",
   IF(J136&gt;200000,"Very High",
      IF(J136&gt;100000,"High",
         IF(J136&gt;30000,"Medium","Low"))))</f>
        <v>Low</v>
      </c>
      <c r="O136" s="115">
        <f>DATE(2026,1,30) - Table1[[#This Row],[Last Payment Date]]</f>
        <v>47</v>
      </c>
      <c r="P136" s="23" t="str">
        <f>IF(Table1[[#This Row],[Days Since Last Collection]]&lt;=45,"Active", IF(Table1[[#This Row],[Days Since Last Collection]]&lt;=75,"Moderate","Inactive"))</f>
        <v>Moderate</v>
      </c>
      <c r="Q136" s="20"/>
    </row>
    <row r="137" spans="1:17" ht="20.100000000000001" customHeight="1">
      <c r="A137" s="39" t="s">
        <v>230</v>
      </c>
      <c r="B137" s="18" t="s">
        <v>379</v>
      </c>
      <c r="C137" s="22" t="s">
        <v>11</v>
      </c>
      <c r="D137" s="49">
        <v>186070</v>
      </c>
      <c r="E137" s="21" t="str">
        <f ca="1">TEXT(Table1[[#This Row],[Last Sale Date]],"MMM")</f>
        <v>Nov</v>
      </c>
      <c r="F137" s="27">
        <f ca="1">DATE(2025,11,10) + RANDBETWEEN(0,81)</f>
        <v>45977</v>
      </c>
      <c r="G137" s="49">
        <v>183950</v>
      </c>
      <c r="H137" s="53" t="str">
        <f>TEXT(Table1[[#This Row],[Last Payment Date]],"MMM")</f>
        <v>Dec</v>
      </c>
      <c r="I137" s="28">
        <v>46005</v>
      </c>
      <c r="J137" s="107">
        <f>D137-G137</f>
        <v>2120</v>
      </c>
      <c r="K137" s="21">
        <v>5</v>
      </c>
      <c r="L137" s="21">
        <v>2</v>
      </c>
      <c r="M137" s="34" t="str">
        <f>IF(J137&gt;3000,"Pending","Settled")</f>
        <v>Settled</v>
      </c>
      <c r="N137" s="34" t="str">
        <f>IF(J137&gt;350000,"Critical",
   IF(J137&gt;200000,"Very High",
      IF(J137&gt;100000,"High",
         IF(J137&gt;30000,"Medium","Low"))))</f>
        <v>Low</v>
      </c>
      <c r="O137" s="115">
        <f>DATE(2026,1,30) - Table1[[#This Row],[Last Payment Date]]</f>
        <v>47</v>
      </c>
      <c r="P137" s="23" t="str">
        <f>IF(Table1[[#This Row],[Days Since Last Collection]]&lt;=45,"Active", IF(Table1[[#This Row],[Days Since Last Collection]]&lt;=75,"Moderate","Inactive"))</f>
        <v>Moderate</v>
      </c>
      <c r="Q137" s="20"/>
    </row>
    <row r="138" spans="1:17" ht="20.100000000000001" customHeight="1">
      <c r="A138" s="39" t="s">
        <v>86</v>
      </c>
      <c r="B138" s="18" t="s">
        <v>380</v>
      </c>
      <c r="C138" s="22" t="s">
        <v>9</v>
      </c>
      <c r="D138" s="49">
        <v>2390040</v>
      </c>
      <c r="E138" s="21" t="str">
        <f ca="1">TEXT(Table1[[#This Row],[Last Sale Date]],"MMM")</f>
        <v>Jan</v>
      </c>
      <c r="F138" s="27">
        <f ca="1">DATE(2025,11,10) + RANDBETWEEN(0,81)</f>
        <v>46045</v>
      </c>
      <c r="G138" s="49">
        <v>2168980</v>
      </c>
      <c r="H138" s="53" t="str">
        <f>TEXT(Table1[[#This Row],[Last Payment Date]],"MMM")</f>
        <v>Jan</v>
      </c>
      <c r="I138" s="28">
        <v>46033</v>
      </c>
      <c r="J138" s="107">
        <f>D138-G138</f>
        <v>221060</v>
      </c>
      <c r="K138" s="21">
        <v>3</v>
      </c>
      <c r="L138" s="21">
        <v>3</v>
      </c>
      <c r="M138" s="34" t="str">
        <f>IF(J138&gt;3000,"Pending","Settled")</f>
        <v>Pending</v>
      </c>
      <c r="N138" s="34" t="str">
        <f>IF(J138&gt;350000,"Critical",
   IF(J138&gt;200000,"Very High",
      IF(J138&gt;100000,"High",
         IF(J138&gt;30000,"Medium","Low"))))</f>
        <v>Very High</v>
      </c>
      <c r="O138" s="115">
        <f>DATE(2026,1,30) - Table1[[#This Row],[Last Payment Date]]</f>
        <v>19</v>
      </c>
      <c r="P138" s="23" t="str">
        <f>IF(Table1[[#This Row],[Days Since Last Collection]]&lt;=45,"Active", IF(Table1[[#This Row],[Days Since Last Collection]]&lt;=75,"Moderate","Inactive"))</f>
        <v>Active</v>
      </c>
      <c r="Q138" s="20"/>
    </row>
    <row r="139" spans="1:17" ht="20.100000000000001" customHeight="1">
      <c r="A139" s="39" t="s">
        <v>119</v>
      </c>
      <c r="B139" s="18" t="s">
        <v>381</v>
      </c>
      <c r="C139" s="22" t="s">
        <v>12</v>
      </c>
      <c r="D139" s="49">
        <v>1402040</v>
      </c>
      <c r="E139" s="21" t="str">
        <f ca="1">TEXT(Table1[[#This Row],[Last Sale Date]],"MMM")</f>
        <v>Jan</v>
      </c>
      <c r="F139" s="27">
        <f ca="1">DATE(2025,11,10) + RANDBETWEEN(0,81)</f>
        <v>46045</v>
      </c>
      <c r="G139" s="49">
        <v>1285760</v>
      </c>
      <c r="H139" s="53" t="str">
        <f>TEXT(Table1[[#This Row],[Last Payment Date]],"MMM")</f>
        <v>Jan</v>
      </c>
      <c r="I139" s="28">
        <v>46033</v>
      </c>
      <c r="J139" s="107">
        <f>D139-G139</f>
        <v>116280</v>
      </c>
      <c r="K139" s="21">
        <v>1</v>
      </c>
      <c r="L139" s="21">
        <v>2</v>
      </c>
      <c r="M139" s="34" t="str">
        <f>IF(J139&gt;3000,"Pending","Settled")</f>
        <v>Pending</v>
      </c>
      <c r="N139" s="34" t="str">
        <f>IF(J139&gt;350000,"Critical",
   IF(J139&gt;200000,"Very High",
      IF(J139&gt;100000,"High",
         IF(J139&gt;30000,"Medium","Low"))))</f>
        <v>High</v>
      </c>
      <c r="O139" s="115">
        <f>DATE(2026,1,30) - Table1[[#This Row],[Last Payment Date]]</f>
        <v>19</v>
      </c>
      <c r="P139" s="23" t="str">
        <f>IF(Table1[[#This Row],[Days Since Last Collection]]&lt;=45,"Active", IF(Table1[[#This Row],[Days Since Last Collection]]&lt;=75,"Moderate","Inactive"))</f>
        <v>Active</v>
      </c>
      <c r="Q139" s="20"/>
    </row>
    <row r="140" spans="1:17" ht="20.100000000000001" customHeight="1">
      <c r="A140" s="39" t="s">
        <v>38</v>
      </c>
      <c r="B140" s="18" t="s">
        <v>382</v>
      </c>
      <c r="C140" s="22" t="s">
        <v>9</v>
      </c>
      <c r="D140" s="49">
        <v>2169330</v>
      </c>
      <c r="E140" s="21" t="str">
        <f ca="1">TEXT(Table1[[#This Row],[Last Sale Date]],"MMM")</f>
        <v>Dec</v>
      </c>
      <c r="F140" s="27">
        <f ca="1">DATE(2025,11,10) + RANDBETWEEN(0,81)</f>
        <v>46007</v>
      </c>
      <c r="G140" s="49">
        <v>1634030</v>
      </c>
      <c r="H140" s="53" t="str">
        <f>TEXT(Table1[[#This Row],[Last Payment Date]],"MMM")</f>
        <v>Dec</v>
      </c>
      <c r="I140" s="28">
        <v>45995</v>
      </c>
      <c r="J140" s="107">
        <f>D140-G140</f>
        <v>535300</v>
      </c>
      <c r="K140" s="21">
        <v>16</v>
      </c>
      <c r="L140" s="21">
        <v>18</v>
      </c>
      <c r="M140" s="34" t="str">
        <f>IF(J140&gt;3000,"Pending","Settled")</f>
        <v>Pending</v>
      </c>
      <c r="N140" s="34" t="str">
        <f>IF(J140&gt;350000,"Critical",
   IF(J140&gt;200000,"Very High",
      IF(J140&gt;100000,"High",
         IF(J140&gt;30000,"Medium","Low"))))</f>
        <v>Critical</v>
      </c>
      <c r="O140" s="115">
        <f>DATE(2026,1,30) - Table1[[#This Row],[Last Payment Date]]</f>
        <v>57</v>
      </c>
      <c r="P140" s="23" t="str">
        <f>IF(Table1[[#This Row],[Days Since Last Collection]]&lt;=45,"Active", IF(Table1[[#This Row],[Days Since Last Collection]]&lt;=75,"Moderate","Inactive"))</f>
        <v>Moderate</v>
      </c>
      <c r="Q140" s="20"/>
    </row>
    <row r="141" spans="1:17" ht="20.100000000000001" customHeight="1">
      <c r="A141" s="39" t="s">
        <v>146</v>
      </c>
      <c r="B141" s="18" t="s">
        <v>383</v>
      </c>
      <c r="C141" s="22" t="s">
        <v>4</v>
      </c>
      <c r="D141" s="49">
        <v>2184630</v>
      </c>
      <c r="E141" s="21" t="str">
        <f ca="1">TEXT(Table1[[#This Row],[Last Sale Date]],"MMM")</f>
        <v>Jan</v>
      </c>
      <c r="F141" s="27">
        <f ca="1">DATE(2025,11,10) + RANDBETWEEN(0,81)</f>
        <v>46025</v>
      </c>
      <c r="G141" s="49">
        <v>2121610</v>
      </c>
      <c r="H141" s="53" t="str">
        <f>TEXT(Table1[[#This Row],[Last Payment Date]],"MMM")</f>
        <v>Dec</v>
      </c>
      <c r="I141" s="28">
        <v>46022</v>
      </c>
      <c r="J141" s="107">
        <f>D141-G141</f>
        <v>63020</v>
      </c>
      <c r="K141" s="21">
        <v>1</v>
      </c>
      <c r="L141" s="21">
        <v>2</v>
      </c>
      <c r="M141" s="34" t="str">
        <f>IF(J141&gt;3000,"Pending","Settled")</f>
        <v>Pending</v>
      </c>
      <c r="N141" s="34" t="str">
        <f>IF(J141&gt;350000,"Critical",
   IF(J141&gt;200000,"Very High",
      IF(J141&gt;100000,"High",
         IF(J141&gt;30000,"Medium","Low"))))</f>
        <v>Medium</v>
      </c>
      <c r="O141" s="115">
        <f>DATE(2026,1,30) - Table1[[#This Row],[Last Payment Date]]</f>
        <v>30</v>
      </c>
      <c r="P141" s="23" t="str">
        <f>IF(Table1[[#This Row],[Days Since Last Collection]]&lt;=45,"Active", IF(Table1[[#This Row],[Days Since Last Collection]]&lt;=75,"Moderate","Inactive"))</f>
        <v>Active</v>
      </c>
      <c r="Q141" s="20"/>
    </row>
    <row r="142" spans="1:17" ht="20.100000000000001" customHeight="1">
      <c r="A142" s="39" t="s">
        <v>199</v>
      </c>
      <c r="B142" s="18" t="s">
        <v>384</v>
      </c>
      <c r="C142" s="22" t="s">
        <v>11</v>
      </c>
      <c r="D142" s="49">
        <v>23500</v>
      </c>
      <c r="E142" s="21" t="str">
        <f ca="1">TEXT(Table1[[#This Row],[Last Sale Date]],"MMM")</f>
        <v>Dec</v>
      </c>
      <c r="F142" s="27">
        <f ca="1">DATE(2025,11,10) + RANDBETWEEN(0,81)</f>
        <v>46019</v>
      </c>
      <c r="G142" s="49">
        <v>13500</v>
      </c>
      <c r="H142" s="53" t="str">
        <f>TEXT(Table1[[#This Row],[Last Payment Date]],"MMM")</f>
        <v>Jan</v>
      </c>
      <c r="I142" s="28">
        <v>46030</v>
      </c>
      <c r="J142" s="107">
        <f>D142-G142</f>
        <v>10000</v>
      </c>
      <c r="K142" s="21">
        <v>1</v>
      </c>
      <c r="L142" s="21">
        <v>1</v>
      </c>
      <c r="M142" s="34" t="str">
        <f>IF(J142&gt;3000,"Pending","Settled")</f>
        <v>Pending</v>
      </c>
      <c r="N142" s="34" t="str">
        <f>IF(J142&gt;350000,"Critical",
   IF(J142&gt;200000,"Very High",
      IF(J142&gt;100000,"High",
         IF(J142&gt;30000,"Medium","Low"))))</f>
        <v>Low</v>
      </c>
      <c r="O142" s="115">
        <f>DATE(2026,1,30) - Table1[[#This Row],[Last Payment Date]]</f>
        <v>22</v>
      </c>
      <c r="P142" s="23" t="str">
        <f>IF(Table1[[#This Row],[Days Since Last Collection]]&lt;=45,"Active", IF(Table1[[#This Row],[Days Since Last Collection]]&lt;=75,"Moderate","Inactive"))</f>
        <v>Active</v>
      </c>
      <c r="Q142" s="20"/>
    </row>
    <row r="143" spans="1:17" ht="20.100000000000001" customHeight="1">
      <c r="A143" s="39" t="s">
        <v>212</v>
      </c>
      <c r="B143" s="18" t="s">
        <v>385</v>
      </c>
      <c r="C143" s="22" t="s">
        <v>8</v>
      </c>
      <c r="D143" s="49">
        <v>14670</v>
      </c>
      <c r="E143" s="21" t="str">
        <f ca="1">TEXT(Table1[[#This Row],[Last Sale Date]],"MMM")</f>
        <v>Jan</v>
      </c>
      <c r="F143" s="27">
        <f ca="1">DATE(2025,11,10) + RANDBETWEEN(0,81)</f>
        <v>46043</v>
      </c>
      <c r="G143" s="49">
        <v>10000</v>
      </c>
      <c r="H143" s="53" t="str">
        <f>TEXT(Table1[[#This Row],[Last Payment Date]],"MMM")</f>
        <v>Nov</v>
      </c>
      <c r="I143" s="28">
        <v>45991</v>
      </c>
      <c r="J143" s="107">
        <f>D143-G143</f>
        <v>4670</v>
      </c>
      <c r="K143" s="21">
        <v>4</v>
      </c>
      <c r="L143" s="21">
        <v>2</v>
      </c>
      <c r="M143" s="34" t="str">
        <f>IF(J143&gt;3000,"Pending","Settled")</f>
        <v>Pending</v>
      </c>
      <c r="N143" s="34" t="str">
        <f>IF(J143&gt;350000,"Critical",
   IF(J143&gt;200000,"Very High",
      IF(J143&gt;100000,"High",
         IF(J143&gt;30000,"Medium","Low"))))</f>
        <v>Low</v>
      </c>
      <c r="O143" s="115">
        <f>DATE(2026,1,30) - Table1[[#This Row],[Last Payment Date]]</f>
        <v>61</v>
      </c>
      <c r="P143" s="23" t="str">
        <f>IF(Table1[[#This Row],[Days Since Last Collection]]&lt;=45,"Active", IF(Table1[[#This Row],[Days Since Last Collection]]&lt;=75,"Moderate","Inactive"))</f>
        <v>Moderate</v>
      </c>
      <c r="Q143" s="20"/>
    </row>
    <row r="144" spans="1:17" ht="20.100000000000001" customHeight="1">
      <c r="A144" s="39" t="s">
        <v>83</v>
      </c>
      <c r="B144" s="18" t="s">
        <v>386</v>
      </c>
      <c r="C144" s="22" t="s">
        <v>8</v>
      </c>
      <c r="D144" s="49">
        <v>2335000</v>
      </c>
      <c r="E144" s="21" t="str">
        <f ca="1">TEXT(Table1[[#This Row],[Last Sale Date]],"MMM")</f>
        <v>Jan</v>
      </c>
      <c r="F144" s="27">
        <f ca="1">DATE(2025,11,10) + RANDBETWEEN(0,81)</f>
        <v>46047</v>
      </c>
      <c r="G144" s="49">
        <v>2100630</v>
      </c>
      <c r="H144" s="53" t="str">
        <f>TEXT(Table1[[#This Row],[Last Payment Date]],"MMM")</f>
        <v>Dec</v>
      </c>
      <c r="I144" s="28">
        <v>46000</v>
      </c>
      <c r="J144" s="107">
        <f>D144-G144</f>
        <v>234370</v>
      </c>
      <c r="K144" s="21">
        <v>2</v>
      </c>
      <c r="L144" s="21">
        <v>4</v>
      </c>
      <c r="M144" s="34" t="str">
        <f>IF(J144&gt;3000,"Pending","Settled")</f>
        <v>Pending</v>
      </c>
      <c r="N144" s="34" t="str">
        <f>IF(J144&gt;350000,"Critical",
   IF(J144&gt;200000,"Very High",
      IF(J144&gt;100000,"High",
         IF(J144&gt;30000,"Medium","Low"))))</f>
        <v>Very High</v>
      </c>
      <c r="O144" s="115">
        <f>DATE(2026,1,30) - Table1[[#This Row],[Last Payment Date]]</f>
        <v>52</v>
      </c>
      <c r="P144" s="23" t="str">
        <f>IF(Table1[[#This Row],[Days Since Last Collection]]&lt;=45,"Active", IF(Table1[[#This Row],[Days Since Last Collection]]&lt;=75,"Moderate","Inactive"))</f>
        <v>Moderate</v>
      </c>
      <c r="Q144" s="20"/>
    </row>
    <row r="145" spans="1:17" ht="20.100000000000001" customHeight="1">
      <c r="A145" s="39" t="s">
        <v>66</v>
      </c>
      <c r="B145" s="18" t="s">
        <v>387</v>
      </c>
      <c r="C145" s="22" t="s">
        <v>8</v>
      </c>
      <c r="D145" s="49">
        <v>1969030</v>
      </c>
      <c r="E145" s="21" t="str">
        <f ca="1">TEXT(Table1[[#This Row],[Last Sale Date]],"MMM")</f>
        <v>Nov</v>
      </c>
      <c r="F145" s="27">
        <f ca="1">DATE(2025,11,10) + RANDBETWEEN(0,81)</f>
        <v>45984</v>
      </c>
      <c r="G145" s="49">
        <v>1663040</v>
      </c>
      <c r="H145" s="53" t="str">
        <f>TEXT(Table1[[#This Row],[Last Payment Date]],"MMM")</f>
        <v>Jan</v>
      </c>
      <c r="I145" s="28">
        <v>46037</v>
      </c>
      <c r="J145" s="107">
        <f>D145-G145</f>
        <v>305990</v>
      </c>
      <c r="K145" s="21">
        <v>2</v>
      </c>
      <c r="L145" s="21">
        <v>2</v>
      </c>
      <c r="M145" s="34" t="str">
        <f>IF(J145&gt;3000,"Pending","Settled")</f>
        <v>Pending</v>
      </c>
      <c r="N145" s="34" t="str">
        <f>IF(J145&gt;350000,"Critical",
   IF(J145&gt;200000,"Very High",
      IF(J145&gt;100000,"High",
         IF(J145&gt;30000,"Medium","Low"))))</f>
        <v>Very High</v>
      </c>
      <c r="O145" s="115">
        <f>DATE(2026,1,30) - Table1[[#This Row],[Last Payment Date]]</f>
        <v>15</v>
      </c>
      <c r="P145" s="23" t="str">
        <f>IF(Table1[[#This Row],[Days Since Last Collection]]&lt;=45,"Active", IF(Table1[[#This Row],[Days Since Last Collection]]&lt;=75,"Moderate","Inactive"))</f>
        <v>Active</v>
      </c>
      <c r="Q145" s="20"/>
    </row>
    <row r="146" spans="1:17" ht="20.100000000000001" customHeight="1">
      <c r="A146" s="39" t="s">
        <v>140</v>
      </c>
      <c r="B146" s="18" t="s">
        <v>388</v>
      </c>
      <c r="C146" s="22" t="s">
        <v>8</v>
      </c>
      <c r="D146" s="49">
        <v>79800</v>
      </c>
      <c r="E146" s="21" t="str">
        <f ca="1">TEXT(Table1[[#This Row],[Last Sale Date]],"MMM")</f>
        <v>Dec</v>
      </c>
      <c r="F146" s="27">
        <f ca="1">DATE(2025,11,10) + RANDBETWEEN(0,81)</f>
        <v>46000</v>
      </c>
      <c r="G146" s="49">
        <v>6700</v>
      </c>
      <c r="H146" s="53" t="str">
        <f>TEXT(Table1[[#This Row],[Last Payment Date]],"MMM")</f>
        <v>Jan</v>
      </c>
      <c r="I146" s="28">
        <v>46044</v>
      </c>
      <c r="J146" s="107">
        <f>D146-G146</f>
        <v>73100</v>
      </c>
      <c r="K146" s="21">
        <v>1</v>
      </c>
      <c r="L146" s="21">
        <v>2</v>
      </c>
      <c r="M146" s="34" t="str">
        <f>IF(J146&gt;3000,"Pending","Settled")</f>
        <v>Pending</v>
      </c>
      <c r="N146" s="34" t="str">
        <f>IF(J146&gt;350000,"Critical",
   IF(J146&gt;200000,"Very High",
      IF(J146&gt;100000,"High",
         IF(J146&gt;30000,"Medium","Low"))))</f>
        <v>Medium</v>
      </c>
      <c r="O146" s="115">
        <f>DATE(2026,1,30) - Table1[[#This Row],[Last Payment Date]]</f>
        <v>8</v>
      </c>
      <c r="P146" s="23" t="str">
        <f>IF(Table1[[#This Row],[Days Since Last Collection]]&lt;=45,"Active", IF(Table1[[#This Row],[Days Since Last Collection]]&lt;=75,"Moderate","Inactive"))</f>
        <v>Active</v>
      </c>
      <c r="Q146" s="20"/>
    </row>
    <row r="147" spans="1:17" ht="20.100000000000001" customHeight="1">
      <c r="A147" s="39" t="s">
        <v>195</v>
      </c>
      <c r="B147" s="18" t="s">
        <v>389</v>
      </c>
      <c r="C147" s="22" t="s">
        <v>8</v>
      </c>
      <c r="D147" s="49">
        <v>12000</v>
      </c>
      <c r="E147" s="21" t="str">
        <f ca="1">TEXT(Table1[[#This Row],[Last Sale Date]],"MMM")</f>
        <v>Dec</v>
      </c>
      <c r="F147" s="27">
        <f ca="1">DATE(2025,11,10) + RANDBETWEEN(0,81)</f>
        <v>46012</v>
      </c>
      <c r="G147" s="49">
        <v>1200</v>
      </c>
      <c r="H147" s="53" t="str">
        <f>TEXT(Table1[[#This Row],[Last Payment Date]],"MMM")</f>
        <v>Dec</v>
      </c>
      <c r="I147" s="28">
        <v>46002</v>
      </c>
      <c r="J147" s="107">
        <f>D147-G147</f>
        <v>10800</v>
      </c>
      <c r="K147" s="21">
        <v>1</v>
      </c>
      <c r="L147" s="21">
        <v>2</v>
      </c>
      <c r="M147" s="34" t="str">
        <f>IF(J147&gt;3000,"Pending","Settled")</f>
        <v>Pending</v>
      </c>
      <c r="N147" s="34" t="str">
        <f>IF(J147&gt;350000,"Critical",
   IF(J147&gt;200000,"Very High",
      IF(J147&gt;100000,"High",
         IF(J147&gt;30000,"Medium","Low"))))</f>
        <v>Low</v>
      </c>
      <c r="O147" s="115">
        <f>DATE(2026,1,30) - Table1[[#This Row],[Last Payment Date]]</f>
        <v>50</v>
      </c>
      <c r="P147" s="23" t="str">
        <f>IF(Table1[[#This Row],[Days Since Last Collection]]&lt;=45,"Active", IF(Table1[[#This Row],[Days Since Last Collection]]&lt;=75,"Moderate","Inactive"))</f>
        <v>Moderate</v>
      </c>
      <c r="Q147" s="20"/>
    </row>
    <row r="148" spans="1:17" ht="20.100000000000001" customHeight="1">
      <c r="A148" s="39" t="s">
        <v>154</v>
      </c>
      <c r="B148" s="18" t="s">
        <v>280</v>
      </c>
      <c r="C148" s="22" t="s">
        <v>11</v>
      </c>
      <c r="D148" s="49">
        <v>67000</v>
      </c>
      <c r="E148" s="21" t="str">
        <f ca="1">TEXT(Table1[[#This Row],[Last Sale Date]],"MMM")</f>
        <v>Dec</v>
      </c>
      <c r="F148" s="27">
        <f ca="1">DATE(2025,11,10) + RANDBETWEEN(0,81)</f>
        <v>45992</v>
      </c>
      <c r="G148" s="49">
        <v>15000</v>
      </c>
      <c r="H148" s="53" t="str">
        <f>TEXT(Table1[[#This Row],[Last Payment Date]],"MMM")</f>
        <v>Dec</v>
      </c>
      <c r="I148" s="28">
        <v>46007</v>
      </c>
      <c r="J148" s="107">
        <f>D148-G148</f>
        <v>52000</v>
      </c>
      <c r="K148" s="21">
        <v>1</v>
      </c>
      <c r="L148" s="21">
        <v>4</v>
      </c>
      <c r="M148" s="34" t="str">
        <f>IF(J148&gt;3000,"Pending","Settled")</f>
        <v>Pending</v>
      </c>
      <c r="N148" s="34" t="str">
        <f>IF(J148&gt;350000,"Critical",
   IF(J148&gt;200000,"Very High",
      IF(J148&gt;100000,"High",
         IF(J148&gt;30000,"Medium","Low"))))</f>
        <v>Medium</v>
      </c>
      <c r="O148" s="115">
        <f>DATE(2026,1,30) - Table1[[#This Row],[Last Payment Date]]</f>
        <v>45</v>
      </c>
      <c r="P148" s="23" t="str">
        <f>IF(Table1[[#This Row],[Days Since Last Collection]]&lt;=45,"Active", IF(Table1[[#This Row],[Days Since Last Collection]]&lt;=75,"Moderate","Inactive"))</f>
        <v>Active</v>
      </c>
      <c r="Q148" s="20"/>
    </row>
    <row r="149" spans="1:17" ht="20.100000000000001" customHeight="1">
      <c r="A149" s="39" t="s">
        <v>116</v>
      </c>
      <c r="B149" s="18" t="s">
        <v>390</v>
      </c>
      <c r="C149" s="22" t="s">
        <v>11</v>
      </c>
      <c r="D149" s="49">
        <v>1958450</v>
      </c>
      <c r="E149" s="21" t="str">
        <f ca="1">TEXT(Table1[[#This Row],[Last Sale Date]],"MMM")</f>
        <v>Dec</v>
      </c>
      <c r="F149" s="27">
        <f ca="1">DATE(2025,11,10) + RANDBETWEEN(0,81)</f>
        <v>46008</v>
      </c>
      <c r="G149" s="49">
        <v>1820250</v>
      </c>
      <c r="H149" s="53" t="str">
        <f>TEXT(Table1[[#This Row],[Last Payment Date]],"MMM")</f>
        <v>Dec</v>
      </c>
      <c r="I149" s="28">
        <v>46003</v>
      </c>
      <c r="J149" s="107">
        <f>D149-G149</f>
        <v>138200</v>
      </c>
      <c r="K149" s="21">
        <v>7</v>
      </c>
      <c r="L149" s="21">
        <v>5</v>
      </c>
      <c r="M149" s="34" t="str">
        <f>IF(J149&gt;3000,"Pending","Settled")</f>
        <v>Pending</v>
      </c>
      <c r="N149" s="34" t="str">
        <f>IF(J149&gt;350000,"Critical",
   IF(J149&gt;200000,"Very High",
      IF(J149&gt;100000,"High",
         IF(J149&gt;30000,"Medium","Low"))))</f>
        <v>High</v>
      </c>
      <c r="O149" s="115">
        <f>DATE(2026,1,30) - Table1[[#This Row],[Last Payment Date]]</f>
        <v>49</v>
      </c>
      <c r="P149" s="23" t="str">
        <f>IF(Table1[[#This Row],[Days Since Last Collection]]&lt;=45,"Active", IF(Table1[[#This Row],[Days Since Last Collection]]&lt;=75,"Moderate","Inactive"))</f>
        <v>Moderate</v>
      </c>
      <c r="Q149" s="20"/>
    </row>
    <row r="150" spans="1:17" ht="20.100000000000001" customHeight="1">
      <c r="A150" s="39" t="s">
        <v>223</v>
      </c>
      <c r="B150" s="18" t="s">
        <v>388</v>
      </c>
      <c r="C150" s="22" t="s">
        <v>8</v>
      </c>
      <c r="D150" s="49">
        <v>75970</v>
      </c>
      <c r="E150" s="21" t="str">
        <f ca="1">TEXT(Table1[[#This Row],[Last Sale Date]],"MMM")</f>
        <v>Jan</v>
      </c>
      <c r="F150" s="27">
        <f ca="1">DATE(2025,11,10) + RANDBETWEEN(0,81)</f>
        <v>46044</v>
      </c>
      <c r="G150" s="49">
        <v>73100</v>
      </c>
      <c r="H150" s="53" t="str">
        <f>TEXT(Table1[[#This Row],[Last Payment Date]],"MMM")</f>
        <v>Dec</v>
      </c>
      <c r="I150" s="28">
        <v>45997</v>
      </c>
      <c r="J150" s="107">
        <f>D150-G150</f>
        <v>2870</v>
      </c>
      <c r="K150" s="21">
        <v>1</v>
      </c>
      <c r="L150" s="21">
        <v>2</v>
      </c>
      <c r="M150" s="34" t="str">
        <f>IF(J150&gt;3000,"Pending","Settled")</f>
        <v>Settled</v>
      </c>
      <c r="N150" s="34" t="str">
        <f>IF(J150&gt;350000,"Critical",
   IF(J150&gt;200000,"Very High",
      IF(J150&gt;100000,"High",
         IF(J150&gt;30000,"Medium","Low"))))</f>
        <v>Low</v>
      </c>
      <c r="O150" s="115">
        <f>DATE(2026,1,30) - Table1[[#This Row],[Last Payment Date]]</f>
        <v>55</v>
      </c>
      <c r="P150" s="23" t="str">
        <f>IF(Table1[[#This Row],[Days Since Last Collection]]&lt;=45,"Active", IF(Table1[[#This Row],[Days Since Last Collection]]&lt;=75,"Moderate","Inactive"))</f>
        <v>Moderate</v>
      </c>
      <c r="Q150" s="20"/>
    </row>
    <row r="151" spans="1:17" ht="20.100000000000001" customHeight="1">
      <c r="A151" s="39" t="s">
        <v>176</v>
      </c>
      <c r="B151" s="18" t="s">
        <v>391</v>
      </c>
      <c r="C151" s="22" t="s">
        <v>8</v>
      </c>
      <c r="D151" s="49">
        <v>45090</v>
      </c>
      <c r="E151" s="21" t="str">
        <f ca="1">TEXT(Table1[[#This Row],[Last Sale Date]],"MMM")</f>
        <v>Jan</v>
      </c>
      <c r="F151" s="27">
        <f ca="1">DATE(2025,11,10) + RANDBETWEEN(0,81)</f>
        <v>46030</v>
      </c>
      <c r="G151" s="49">
        <v>19000</v>
      </c>
      <c r="H151" s="53" t="str">
        <f>TEXT(Table1[[#This Row],[Last Payment Date]],"MMM")</f>
        <v>Nov</v>
      </c>
      <c r="I151" s="28">
        <v>45975</v>
      </c>
      <c r="J151" s="107">
        <f>D151-G151</f>
        <v>26090</v>
      </c>
      <c r="K151" s="21">
        <v>1</v>
      </c>
      <c r="L151" s="21">
        <v>1</v>
      </c>
      <c r="M151" s="34" t="str">
        <f>IF(J151&gt;3000,"Pending","Settled")</f>
        <v>Pending</v>
      </c>
      <c r="N151" s="34" t="str">
        <f>IF(J151&gt;350000,"Critical",
   IF(J151&gt;200000,"Very High",
      IF(J151&gt;100000,"High",
         IF(J151&gt;30000,"Medium","Low"))))</f>
        <v>Low</v>
      </c>
      <c r="O151" s="115">
        <f>DATE(2026,1,30) - Table1[[#This Row],[Last Payment Date]]</f>
        <v>77</v>
      </c>
      <c r="P151" s="23" t="str">
        <f>IF(Table1[[#This Row],[Days Since Last Collection]]&lt;=45,"Active", IF(Table1[[#This Row],[Days Since Last Collection]]&lt;=75,"Moderate","Inactive"))</f>
        <v>Inactive</v>
      </c>
      <c r="Q151" s="20"/>
    </row>
    <row r="152" spans="1:17" ht="20.100000000000001" customHeight="1">
      <c r="A152" s="39" t="s">
        <v>211</v>
      </c>
      <c r="B152" s="18" t="s">
        <v>329</v>
      </c>
      <c r="C152" s="22" t="s">
        <v>6</v>
      </c>
      <c r="D152" s="49">
        <v>12800</v>
      </c>
      <c r="E152" s="21" t="str">
        <f ca="1">TEXT(Table1[[#This Row],[Last Sale Date]],"MMM")</f>
        <v>Jan</v>
      </c>
      <c r="F152" s="27">
        <f ca="1">DATE(2025,11,10) + RANDBETWEEN(0,81)</f>
        <v>46045</v>
      </c>
      <c r="G152" s="49">
        <v>8000</v>
      </c>
      <c r="H152" s="53" t="str">
        <f>TEXT(Table1[[#This Row],[Last Payment Date]],"MMM")</f>
        <v>Dec</v>
      </c>
      <c r="I152" s="28">
        <v>46016</v>
      </c>
      <c r="J152" s="107">
        <f>D152-G152</f>
        <v>4800</v>
      </c>
      <c r="K152" s="21">
        <v>1</v>
      </c>
      <c r="L152" s="21">
        <v>1</v>
      </c>
      <c r="M152" s="34" t="str">
        <f>IF(J152&gt;3000,"Pending","Settled")</f>
        <v>Pending</v>
      </c>
      <c r="N152" s="34" t="str">
        <f>IF(J152&gt;350000,"Critical",
   IF(J152&gt;200000,"Very High",
      IF(J152&gt;100000,"High",
         IF(J152&gt;30000,"Medium","Low"))))</f>
        <v>Low</v>
      </c>
      <c r="O152" s="115">
        <f>DATE(2026,1,30) - Table1[[#This Row],[Last Payment Date]]</f>
        <v>36</v>
      </c>
      <c r="P152" s="23" t="str">
        <f>IF(Table1[[#This Row],[Days Since Last Collection]]&lt;=45,"Active", IF(Table1[[#This Row],[Days Since Last Collection]]&lt;=75,"Moderate","Inactive"))</f>
        <v>Active</v>
      </c>
      <c r="Q152" s="20"/>
    </row>
    <row r="153" spans="1:17" ht="20.100000000000001" customHeight="1">
      <c r="A153" s="39" t="s">
        <v>147</v>
      </c>
      <c r="B153" s="18" t="s">
        <v>268</v>
      </c>
      <c r="C153" s="22" t="s">
        <v>6</v>
      </c>
      <c r="D153" s="49">
        <v>67680</v>
      </c>
      <c r="E153" s="21" t="str">
        <f ca="1">TEXT(Table1[[#This Row],[Last Sale Date]],"MMM")</f>
        <v>Jan</v>
      </c>
      <c r="F153" s="27">
        <f ca="1">DATE(2025,11,10) + RANDBETWEEN(0,81)</f>
        <v>46051</v>
      </c>
      <c r="G153" s="49">
        <v>9000</v>
      </c>
      <c r="H153" s="53" t="str">
        <f>TEXT(Table1[[#This Row],[Last Payment Date]],"MMM")</f>
        <v>Dec</v>
      </c>
      <c r="I153" s="28">
        <v>46012</v>
      </c>
      <c r="J153" s="107">
        <f>D153-G153</f>
        <v>58680</v>
      </c>
      <c r="K153" s="21">
        <v>1</v>
      </c>
      <c r="L153" s="21">
        <v>1</v>
      </c>
      <c r="M153" s="34" t="str">
        <f>IF(J153&gt;3000,"Pending","Settled")</f>
        <v>Pending</v>
      </c>
      <c r="N153" s="34" t="str">
        <f>IF(J153&gt;350000,"Critical",
   IF(J153&gt;200000,"Very High",
      IF(J153&gt;100000,"High",
         IF(J153&gt;30000,"Medium","Low"))))</f>
        <v>Medium</v>
      </c>
      <c r="O153" s="115">
        <f>DATE(2026,1,30) - Table1[[#This Row],[Last Payment Date]]</f>
        <v>40</v>
      </c>
      <c r="P153" s="23" t="str">
        <f>IF(Table1[[#This Row],[Days Since Last Collection]]&lt;=45,"Active", IF(Table1[[#This Row],[Days Since Last Collection]]&lt;=75,"Moderate","Inactive"))</f>
        <v>Active</v>
      </c>
      <c r="Q153" s="20"/>
    </row>
    <row r="154" spans="1:17" ht="20.100000000000001" customHeight="1">
      <c r="A154" s="39" t="s">
        <v>157</v>
      </c>
      <c r="B154" s="18" t="s">
        <v>392</v>
      </c>
      <c r="C154" s="22" t="s">
        <v>11</v>
      </c>
      <c r="D154" s="49">
        <v>60000</v>
      </c>
      <c r="E154" s="21" t="str">
        <f ca="1">TEXT(Table1[[#This Row],[Last Sale Date]],"MMM")</f>
        <v>Nov</v>
      </c>
      <c r="F154" s="27">
        <f ca="1">DATE(2025,11,10) + RANDBETWEEN(0,81)</f>
        <v>45984</v>
      </c>
      <c r="G154" s="49">
        <v>10000</v>
      </c>
      <c r="H154" s="53" t="str">
        <f>TEXT(Table1[[#This Row],[Last Payment Date]],"MMM")</f>
        <v>Jan</v>
      </c>
      <c r="I154" s="28">
        <v>46037</v>
      </c>
      <c r="J154" s="107">
        <f>D154-G154</f>
        <v>50000</v>
      </c>
      <c r="K154" s="21">
        <v>5</v>
      </c>
      <c r="L154" s="21">
        <v>2</v>
      </c>
      <c r="M154" s="34" t="str">
        <f>IF(J154&gt;3000,"Pending","Settled")</f>
        <v>Pending</v>
      </c>
      <c r="N154" s="34" t="str">
        <f>IF(J154&gt;350000,"Critical",
   IF(J154&gt;200000,"Very High",
      IF(J154&gt;100000,"High",
         IF(J154&gt;30000,"Medium","Low"))))</f>
        <v>Medium</v>
      </c>
      <c r="O154" s="115">
        <f>DATE(2026,1,30) - Table1[[#This Row],[Last Payment Date]]</f>
        <v>15</v>
      </c>
      <c r="P154" s="23" t="str">
        <f>IF(Table1[[#This Row],[Days Since Last Collection]]&lt;=45,"Active", IF(Table1[[#This Row],[Days Since Last Collection]]&lt;=75,"Moderate","Inactive"))</f>
        <v>Active</v>
      </c>
      <c r="Q154" s="20"/>
    </row>
    <row r="155" spans="1:17" ht="20.100000000000001" customHeight="1">
      <c r="A155" s="39" t="s">
        <v>50</v>
      </c>
      <c r="B155" s="18" t="s">
        <v>393</v>
      </c>
      <c r="C155" s="22" t="s">
        <v>9</v>
      </c>
      <c r="D155" s="49">
        <v>1548030</v>
      </c>
      <c r="E155" s="21" t="str">
        <f ca="1">TEXT(Table1[[#This Row],[Last Sale Date]],"MMM")</f>
        <v>Nov</v>
      </c>
      <c r="F155" s="27">
        <f ca="1">DATE(2025,11,10) + RANDBETWEEN(0,81)</f>
        <v>45980</v>
      </c>
      <c r="G155" s="49">
        <v>1180420</v>
      </c>
      <c r="H155" s="53" t="str">
        <f>TEXT(Table1[[#This Row],[Last Payment Date]],"MMM")</f>
        <v>Nov</v>
      </c>
      <c r="I155" s="28">
        <v>45971</v>
      </c>
      <c r="J155" s="107">
        <f>D155-G155</f>
        <v>367610</v>
      </c>
      <c r="K155" s="21">
        <v>6</v>
      </c>
      <c r="L155" s="21">
        <v>3</v>
      </c>
      <c r="M155" s="34" t="str">
        <f>IF(J155&gt;3000,"Pending","Settled")</f>
        <v>Pending</v>
      </c>
      <c r="N155" s="34" t="str">
        <f>IF(J155&gt;350000,"Critical",
   IF(J155&gt;200000,"Very High",
      IF(J155&gt;100000,"High",
         IF(J155&gt;30000,"Medium","Low"))))</f>
        <v>Critical</v>
      </c>
      <c r="O155" s="115">
        <f>DATE(2026,1,30) - Table1[[#This Row],[Last Payment Date]]</f>
        <v>81</v>
      </c>
      <c r="P155" s="23" t="str">
        <f>IF(Table1[[#This Row],[Days Since Last Collection]]&lt;=45,"Active", IF(Table1[[#This Row],[Days Since Last Collection]]&lt;=75,"Moderate","Inactive"))</f>
        <v>Inactive</v>
      </c>
      <c r="Q155" s="20"/>
    </row>
    <row r="156" spans="1:17" ht="20.100000000000001" customHeight="1">
      <c r="A156" s="39" t="s">
        <v>117</v>
      </c>
      <c r="B156" s="18" t="s">
        <v>394</v>
      </c>
      <c r="C156" s="22" t="s">
        <v>4</v>
      </c>
      <c r="D156" s="49">
        <v>1930390</v>
      </c>
      <c r="E156" s="21" t="str">
        <f ca="1">TEXT(Table1[[#This Row],[Last Sale Date]],"MMM")</f>
        <v>Dec</v>
      </c>
      <c r="F156" s="27">
        <f ca="1">DATE(2025,11,10) + RANDBETWEEN(0,81)</f>
        <v>46014</v>
      </c>
      <c r="G156" s="49">
        <v>1801460</v>
      </c>
      <c r="H156" s="53" t="str">
        <f>TEXT(Table1[[#This Row],[Last Payment Date]],"MMM")</f>
        <v>Dec</v>
      </c>
      <c r="I156" s="28">
        <v>45992</v>
      </c>
      <c r="J156" s="107">
        <f>D156-G156</f>
        <v>128930</v>
      </c>
      <c r="K156" s="21">
        <v>2</v>
      </c>
      <c r="L156" s="21">
        <v>4</v>
      </c>
      <c r="M156" s="34" t="str">
        <f>IF(J156&gt;3000,"Pending","Settled")</f>
        <v>Pending</v>
      </c>
      <c r="N156" s="34" t="str">
        <f>IF(J156&gt;350000,"Critical",
   IF(J156&gt;200000,"Very High",
      IF(J156&gt;100000,"High",
         IF(J156&gt;30000,"Medium","Low"))))</f>
        <v>High</v>
      </c>
      <c r="O156" s="115">
        <f>DATE(2026,1,30) - Table1[[#This Row],[Last Payment Date]]</f>
        <v>60</v>
      </c>
      <c r="P156" s="23" t="str">
        <f>IF(Table1[[#This Row],[Days Since Last Collection]]&lt;=45,"Active", IF(Table1[[#This Row],[Days Since Last Collection]]&lt;=75,"Moderate","Inactive"))</f>
        <v>Moderate</v>
      </c>
      <c r="Q156" s="20"/>
    </row>
    <row r="157" spans="1:17" ht="20.100000000000001" customHeight="1">
      <c r="A157" s="39" t="s">
        <v>53</v>
      </c>
      <c r="B157" s="18" t="s">
        <v>395</v>
      </c>
      <c r="C157" s="22" t="s">
        <v>8</v>
      </c>
      <c r="D157" s="49">
        <v>1186650</v>
      </c>
      <c r="E157" s="21" t="str">
        <f ca="1">TEXT(Table1[[#This Row],[Last Sale Date]],"MMM")</f>
        <v>Jan</v>
      </c>
      <c r="F157" s="27">
        <f ca="1">DATE(2025,11,10) + RANDBETWEEN(0,81)</f>
        <v>46039</v>
      </c>
      <c r="G157" s="49">
        <v>835910</v>
      </c>
      <c r="H157" s="53" t="str">
        <f>TEXT(Table1[[#This Row],[Last Payment Date]],"MMM")</f>
        <v>Dec</v>
      </c>
      <c r="I157" s="28">
        <v>46009</v>
      </c>
      <c r="J157" s="107">
        <f>D157-G157</f>
        <v>350740</v>
      </c>
      <c r="K157" s="21">
        <v>6</v>
      </c>
      <c r="L157" s="21">
        <v>2</v>
      </c>
      <c r="M157" s="34" t="str">
        <f>IF(J157&gt;3000,"Pending","Settled")</f>
        <v>Pending</v>
      </c>
      <c r="N157" s="34" t="str">
        <f>IF(J157&gt;350000,"Critical",
   IF(J157&gt;200000,"Very High",
      IF(J157&gt;100000,"High",
         IF(J157&gt;30000,"Medium","Low"))))</f>
        <v>Critical</v>
      </c>
      <c r="O157" s="115">
        <f>DATE(2026,1,30) - Table1[[#This Row],[Last Payment Date]]</f>
        <v>43</v>
      </c>
      <c r="P157" s="23" t="str">
        <f>IF(Table1[[#This Row],[Days Since Last Collection]]&lt;=45,"Active", IF(Table1[[#This Row],[Days Since Last Collection]]&lt;=75,"Moderate","Inactive"))</f>
        <v>Active</v>
      </c>
      <c r="Q157" s="20"/>
    </row>
    <row r="158" spans="1:17" ht="20.100000000000001" customHeight="1">
      <c r="A158" s="39" t="s">
        <v>114</v>
      </c>
      <c r="B158" s="18" t="s">
        <v>396</v>
      </c>
      <c r="C158" s="22" t="s">
        <v>12</v>
      </c>
      <c r="D158" s="49">
        <v>1516010</v>
      </c>
      <c r="E158" s="21" t="str">
        <f ca="1">TEXT(Table1[[#This Row],[Last Sale Date]],"MMM")</f>
        <v>Dec</v>
      </c>
      <c r="F158" s="27">
        <f ca="1">DATE(2025,11,10) + RANDBETWEEN(0,81)</f>
        <v>46013</v>
      </c>
      <c r="G158" s="49">
        <v>1376050</v>
      </c>
      <c r="H158" s="53" t="str">
        <f>TEXT(Table1[[#This Row],[Last Payment Date]],"MMM")</f>
        <v>Dec</v>
      </c>
      <c r="I158" s="28">
        <v>46009</v>
      </c>
      <c r="J158" s="107">
        <f>D158-G158</f>
        <v>139960</v>
      </c>
      <c r="K158" s="21">
        <v>5</v>
      </c>
      <c r="L158" s="21">
        <v>1</v>
      </c>
      <c r="M158" s="34" t="str">
        <f>IF(J158&gt;3000,"Pending","Settled")</f>
        <v>Pending</v>
      </c>
      <c r="N158" s="34" t="str">
        <f>IF(J158&gt;350000,"Critical",
   IF(J158&gt;200000,"Very High",
      IF(J158&gt;100000,"High",
         IF(J158&gt;30000,"Medium","Low"))))</f>
        <v>High</v>
      </c>
      <c r="O158" s="115">
        <f>DATE(2026,1,30) - Table1[[#This Row],[Last Payment Date]]</f>
        <v>43</v>
      </c>
      <c r="P158" s="23" t="str">
        <f>IF(Table1[[#This Row],[Days Since Last Collection]]&lt;=45,"Active", IF(Table1[[#This Row],[Days Since Last Collection]]&lt;=75,"Moderate","Inactive"))</f>
        <v>Active</v>
      </c>
      <c r="Q158" s="20"/>
    </row>
    <row r="159" spans="1:17" ht="20.100000000000001" customHeight="1">
      <c r="A159" s="39" t="s">
        <v>221</v>
      </c>
      <c r="B159" s="18" t="s">
        <v>397</v>
      </c>
      <c r="C159" s="22" t="s">
        <v>6</v>
      </c>
      <c r="D159" s="49">
        <v>15000</v>
      </c>
      <c r="E159" s="21" t="str">
        <f ca="1">TEXT(Table1[[#This Row],[Last Sale Date]],"MMM")</f>
        <v>Jan</v>
      </c>
      <c r="F159" s="27">
        <f ca="1">DATE(2025,11,10) + RANDBETWEEN(0,81)</f>
        <v>46043</v>
      </c>
      <c r="G159" s="49">
        <v>12000</v>
      </c>
      <c r="H159" s="53" t="str">
        <f>TEXT(Table1[[#This Row],[Last Payment Date]],"MMM")</f>
        <v>Nov</v>
      </c>
      <c r="I159" s="28">
        <v>45979</v>
      </c>
      <c r="J159" s="107">
        <f>D159-G159</f>
        <v>3000</v>
      </c>
      <c r="K159" s="21">
        <v>1</v>
      </c>
      <c r="L159" s="21">
        <v>1</v>
      </c>
      <c r="M159" s="34" t="str">
        <f>IF(J159&gt;3000,"Pending","Settled")</f>
        <v>Settled</v>
      </c>
      <c r="N159" s="34" t="str">
        <f>IF(J159&gt;350000,"Critical",
   IF(J159&gt;200000,"Very High",
      IF(J159&gt;100000,"High",
         IF(J159&gt;30000,"Medium","Low"))))</f>
        <v>Low</v>
      </c>
      <c r="O159" s="115">
        <f>DATE(2026,1,30) - Table1[[#This Row],[Last Payment Date]]</f>
        <v>73</v>
      </c>
      <c r="P159" s="23" t="str">
        <f>IF(Table1[[#This Row],[Days Since Last Collection]]&lt;=45,"Active", IF(Table1[[#This Row],[Days Since Last Collection]]&lt;=75,"Moderate","Inactive"))</f>
        <v>Moderate</v>
      </c>
      <c r="Q159" s="20"/>
    </row>
    <row r="160" spans="1:17" ht="20.100000000000001" customHeight="1">
      <c r="A160" s="39" t="s">
        <v>120</v>
      </c>
      <c r="B160" s="18" t="s">
        <v>280</v>
      </c>
      <c r="C160" s="22" t="s">
        <v>11</v>
      </c>
      <c r="D160" s="49">
        <v>565670</v>
      </c>
      <c r="E160" s="21" t="str">
        <f ca="1">TEXT(Table1[[#This Row],[Last Sale Date]],"MMM")</f>
        <v>Dec</v>
      </c>
      <c r="F160" s="27">
        <f ca="1">DATE(2025,11,10) + RANDBETWEEN(0,81)</f>
        <v>45994</v>
      </c>
      <c r="G160" s="49">
        <v>450000</v>
      </c>
      <c r="H160" s="53" t="str">
        <f>TEXT(Table1[[#This Row],[Last Payment Date]],"MMM")</f>
        <v>Nov</v>
      </c>
      <c r="I160" s="28">
        <v>45971</v>
      </c>
      <c r="J160" s="107">
        <f>D160-G160</f>
        <v>115670</v>
      </c>
      <c r="K160" s="21">
        <v>4</v>
      </c>
      <c r="L160" s="21">
        <v>6</v>
      </c>
      <c r="M160" s="34" t="str">
        <f>IF(J160&gt;3000,"Pending","Settled")</f>
        <v>Pending</v>
      </c>
      <c r="N160" s="34" t="str">
        <f>IF(J160&gt;350000,"Critical",
   IF(J160&gt;200000,"Very High",
      IF(J160&gt;100000,"High",
         IF(J160&gt;30000,"Medium","Low"))))</f>
        <v>High</v>
      </c>
      <c r="O160" s="115">
        <f>DATE(2026,1,30) - Table1[[#This Row],[Last Payment Date]]</f>
        <v>81</v>
      </c>
      <c r="P160" s="23" t="str">
        <f>IF(Table1[[#This Row],[Days Since Last Collection]]&lt;=45,"Active", IF(Table1[[#This Row],[Days Since Last Collection]]&lt;=75,"Moderate","Inactive"))</f>
        <v>Inactive</v>
      </c>
      <c r="Q160" s="20"/>
    </row>
    <row r="161" spans="1:17" ht="20.100000000000001" customHeight="1">
      <c r="A161" s="39" t="s">
        <v>167</v>
      </c>
      <c r="B161" s="18" t="s">
        <v>398</v>
      </c>
      <c r="C161" s="22" t="s">
        <v>8</v>
      </c>
      <c r="D161" s="49">
        <v>45000</v>
      </c>
      <c r="E161" s="21" t="str">
        <f ca="1">TEXT(Table1[[#This Row],[Last Sale Date]],"MMM")</f>
        <v>Jan</v>
      </c>
      <c r="F161" s="27">
        <f ca="1">DATE(2025,11,10) + RANDBETWEEN(0,81)</f>
        <v>46049</v>
      </c>
      <c r="G161" s="49">
        <v>8710</v>
      </c>
      <c r="H161" s="53" t="str">
        <f>TEXT(Table1[[#This Row],[Last Payment Date]],"MMM")</f>
        <v>Dec</v>
      </c>
      <c r="I161" s="28">
        <v>46010</v>
      </c>
      <c r="J161" s="107">
        <f>D161-G161</f>
        <v>36290</v>
      </c>
      <c r="K161" s="21">
        <v>1</v>
      </c>
      <c r="L161" s="21">
        <v>3</v>
      </c>
      <c r="M161" s="34" t="str">
        <f>IF(J161&gt;3000,"Pending","Settled")</f>
        <v>Pending</v>
      </c>
      <c r="N161" s="34" t="str">
        <f>IF(J161&gt;350000,"Critical",
   IF(J161&gt;200000,"Very High",
      IF(J161&gt;100000,"High",
         IF(J161&gt;30000,"Medium","Low"))))</f>
        <v>Medium</v>
      </c>
      <c r="O161" s="115">
        <f>DATE(2026,1,30) - Table1[[#This Row],[Last Payment Date]]</f>
        <v>42</v>
      </c>
      <c r="P161" s="23" t="str">
        <f>IF(Table1[[#This Row],[Days Since Last Collection]]&lt;=45,"Active", IF(Table1[[#This Row],[Days Since Last Collection]]&lt;=75,"Moderate","Inactive"))</f>
        <v>Active</v>
      </c>
      <c r="Q161" s="20"/>
    </row>
    <row r="162" spans="1:17" ht="20.100000000000001" customHeight="1">
      <c r="A162" s="39" t="s">
        <v>102</v>
      </c>
      <c r="B162" s="18" t="s">
        <v>399</v>
      </c>
      <c r="C162" s="22" t="s">
        <v>6</v>
      </c>
      <c r="D162" s="49">
        <v>230000</v>
      </c>
      <c r="E162" s="21" t="str">
        <f ca="1">TEXT(Table1[[#This Row],[Last Sale Date]],"MMM")</f>
        <v>Dec</v>
      </c>
      <c r="F162" s="27">
        <f ca="1">DATE(2025,11,10) + RANDBETWEEN(0,81)</f>
        <v>45995</v>
      </c>
      <c r="G162" s="49">
        <v>65000</v>
      </c>
      <c r="H162" s="53" t="str">
        <f>TEXT(Table1[[#This Row],[Last Payment Date]],"MMM")</f>
        <v>Dec</v>
      </c>
      <c r="I162" s="28">
        <v>45992</v>
      </c>
      <c r="J162" s="107">
        <f>D162-G162</f>
        <v>165000</v>
      </c>
      <c r="K162" s="21">
        <v>4</v>
      </c>
      <c r="L162" s="21">
        <v>1</v>
      </c>
      <c r="M162" s="34" t="str">
        <f>IF(J162&gt;3000,"Pending","Settled")</f>
        <v>Pending</v>
      </c>
      <c r="N162" s="34" t="str">
        <f>IF(J162&gt;350000,"Critical",
   IF(J162&gt;200000,"Very High",
      IF(J162&gt;100000,"High",
         IF(J162&gt;30000,"Medium","Low"))))</f>
        <v>High</v>
      </c>
      <c r="O162" s="115">
        <f>DATE(2026,1,30) - Table1[[#This Row],[Last Payment Date]]</f>
        <v>60</v>
      </c>
      <c r="P162" s="23" t="str">
        <f>IF(Table1[[#This Row],[Days Since Last Collection]]&lt;=45,"Active", IF(Table1[[#This Row],[Days Since Last Collection]]&lt;=75,"Moderate","Inactive"))</f>
        <v>Moderate</v>
      </c>
      <c r="Q162" s="20"/>
    </row>
    <row r="163" spans="1:17" ht="20.100000000000001" customHeight="1">
      <c r="A163" s="39" t="s">
        <v>208</v>
      </c>
      <c r="B163" s="18" t="s">
        <v>400</v>
      </c>
      <c r="C163" s="22" t="s">
        <v>6</v>
      </c>
      <c r="D163" s="49">
        <v>15190</v>
      </c>
      <c r="E163" s="21" t="str">
        <f ca="1">TEXT(Table1[[#This Row],[Last Sale Date]],"MMM")</f>
        <v>Nov</v>
      </c>
      <c r="F163" s="27">
        <f ca="1">DATE(2025,11,10) + RANDBETWEEN(0,81)</f>
        <v>45975</v>
      </c>
      <c r="G163" s="49">
        <v>10000</v>
      </c>
      <c r="H163" s="53" t="str">
        <f>TEXT(Table1[[#This Row],[Last Payment Date]],"MMM")</f>
        <v>Jan</v>
      </c>
      <c r="I163" s="28">
        <v>46031</v>
      </c>
      <c r="J163" s="107">
        <f>D163-G163</f>
        <v>5190</v>
      </c>
      <c r="K163" s="21">
        <v>3</v>
      </c>
      <c r="L163" s="21">
        <v>4</v>
      </c>
      <c r="M163" s="34" t="str">
        <f>IF(J163&gt;3000,"Pending","Settled")</f>
        <v>Pending</v>
      </c>
      <c r="N163" s="34" t="str">
        <f>IF(J163&gt;350000,"Critical",
   IF(J163&gt;200000,"Very High",
      IF(J163&gt;100000,"High",
         IF(J163&gt;30000,"Medium","Low"))))</f>
        <v>Low</v>
      </c>
      <c r="O163" s="115">
        <f>DATE(2026,1,30) - Table1[[#This Row],[Last Payment Date]]</f>
        <v>21</v>
      </c>
      <c r="P163" s="23" t="str">
        <f>IF(Table1[[#This Row],[Days Since Last Collection]]&lt;=45,"Active", IF(Table1[[#This Row],[Days Since Last Collection]]&lt;=75,"Moderate","Inactive"))</f>
        <v>Active</v>
      </c>
      <c r="Q163" s="20"/>
    </row>
    <row r="164" spans="1:17" ht="20.100000000000001" customHeight="1">
      <c r="A164" s="39" t="s">
        <v>200</v>
      </c>
      <c r="B164" s="18" t="s">
        <v>269</v>
      </c>
      <c r="C164" s="22" t="s">
        <v>11</v>
      </c>
      <c r="D164" s="49">
        <v>129000</v>
      </c>
      <c r="E164" s="21" t="str">
        <f ca="1">TEXT(Table1[[#This Row],[Last Sale Date]],"MMM")</f>
        <v>Nov</v>
      </c>
      <c r="F164" s="27">
        <f ca="1">DATE(2025,11,10) + RANDBETWEEN(0,81)</f>
        <v>45974</v>
      </c>
      <c r="G164" s="49">
        <v>120000</v>
      </c>
      <c r="H164" s="53" t="str">
        <f>TEXT(Table1[[#This Row],[Last Payment Date]],"MMM")</f>
        <v>Jan</v>
      </c>
      <c r="I164" s="28">
        <v>46051</v>
      </c>
      <c r="J164" s="107">
        <f>D164-G164</f>
        <v>9000</v>
      </c>
      <c r="K164" s="21">
        <v>4</v>
      </c>
      <c r="L164" s="21">
        <v>4</v>
      </c>
      <c r="M164" s="34" t="str">
        <f>IF(J164&gt;3000,"Pending","Settled")</f>
        <v>Pending</v>
      </c>
      <c r="N164" s="34" t="str">
        <f>IF(J164&gt;350000,"Critical",
   IF(J164&gt;200000,"Very High",
      IF(J164&gt;100000,"High",
         IF(J164&gt;30000,"Medium","Low"))))</f>
        <v>Low</v>
      </c>
      <c r="O164" s="115">
        <f>DATE(2026,1,30) - Table1[[#This Row],[Last Payment Date]]</f>
        <v>1</v>
      </c>
      <c r="P164" s="23" t="str">
        <f>IF(Table1[[#This Row],[Days Since Last Collection]]&lt;=45,"Active", IF(Table1[[#This Row],[Days Since Last Collection]]&lt;=75,"Moderate","Inactive"))</f>
        <v>Active</v>
      </c>
      <c r="Q164" s="20"/>
    </row>
    <row r="165" spans="1:17" ht="20.100000000000001" customHeight="1">
      <c r="A165" s="39" t="s">
        <v>204</v>
      </c>
      <c r="B165" s="18" t="s">
        <v>401</v>
      </c>
      <c r="C165" s="22" t="s">
        <v>6</v>
      </c>
      <c r="D165" s="49">
        <v>10000</v>
      </c>
      <c r="E165" s="21" t="str">
        <f ca="1">TEXT(Table1[[#This Row],[Last Sale Date]],"MMM")</f>
        <v>Jan</v>
      </c>
      <c r="F165" s="27">
        <f ca="1">DATE(2025,11,10) + RANDBETWEEN(0,81)</f>
        <v>46030</v>
      </c>
      <c r="G165" s="49">
        <v>2500</v>
      </c>
      <c r="H165" s="53" t="str">
        <f>TEXT(Table1[[#This Row],[Last Payment Date]],"MMM")</f>
        <v>Nov</v>
      </c>
      <c r="I165" s="28">
        <v>45985</v>
      </c>
      <c r="J165" s="107">
        <f>D165-G165</f>
        <v>7500</v>
      </c>
      <c r="K165" s="21">
        <v>2</v>
      </c>
      <c r="L165" s="21">
        <v>2</v>
      </c>
      <c r="M165" s="34" t="str">
        <f>IF(J165&gt;3000,"Pending","Settled")</f>
        <v>Pending</v>
      </c>
      <c r="N165" s="34" t="str">
        <f>IF(J165&gt;350000,"Critical",
   IF(J165&gt;200000,"Very High",
      IF(J165&gt;100000,"High",
         IF(J165&gt;30000,"Medium","Low"))))</f>
        <v>Low</v>
      </c>
      <c r="O165" s="115">
        <f>DATE(2026,1,30) - Table1[[#This Row],[Last Payment Date]]</f>
        <v>67</v>
      </c>
      <c r="P165" s="23" t="str">
        <f>IF(Table1[[#This Row],[Days Since Last Collection]]&lt;=45,"Active", IF(Table1[[#This Row],[Days Since Last Collection]]&lt;=75,"Moderate","Inactive"))</f>
        <v>Moderate</v>
      </c>
      <c r="Q165" s="20"/>
    </row>
    <row r="166" spans="1:17" ht="20.100000000000001" customHeight="1">
      <c r="A166" s="39" t="s">
        <v>57</v>
      </c>
      <c r="B166" s="18" t="s">
        <v>402</v>
      </c>
      <c r="C166" s="22" t="s">
        <v>4</v>
      </c>
      <c r="D166" s="49">
        <v>2300880</v>
      </c>
      <c r="E166" s="21" t="str">
        <f ca="1">TEXT(Table1[[#This Row],[Last Sale Date]],"MMM")</f>
        <v>Jan</v>
      </c>
      <c r="F166" s="27">
        <f ca="1">DATE(2025,11,10) + RANDBETWEEN(0,81)</f>
        <v>46037</v>
      </c>
      <c r="G166" s="49">
        <v>1970530</v>
      </c>
      <c r="H166" s="53" t="str">
        <f>TEXT(Table1[[#This Row],[Last Payment Date]],"MMM")</f>
        <v>Jan</v>
      </c>
      <c r="I166" s="28">
        <v>46046</v>
      </c>
      <c r="J166" s="107">
        <f>D166-G166</f>
        <v>330350</v>
      </c>
      <c r="K166" s="21">
        <v>2</v>
      </c>
      <c r="L166" s="21">
        <v>1</v>
      </c>
      <c r="M166" s="34" t="str">
        <f>IF(J166&gt;3000,"Pending","Settled")</f>
        <v>Pending</v>
      </c>
      <c r="N166" s="34" t="str">
        <f>IF(J166&gt;350000,"Critical",
   IF(J166&gt;200000,"Very High",
      IF(J166&gt;100000,"High",
         IF(J166&gt;30000,"Medium","Low"))))</f>
        <v>Very High</v>
      </c>
      <c r="O166" s="115">
        <f>DATE(2026,1,30) - Table1[[#This Row],[Last Payment Date]]</f>
        <v>6</v>
      </c>
      <c r="P166" s="23" t="str">
        <f>IF(Table1[[#This Row],[Days Since Last Collection]]&lt;=45,"Active", IF(Table1[[#This Row],[Days Since Last Collection]]&lt;=75,"Moderate","Inactive"))</f>
        <v>Active</v>
      </c>
      <c r="Q166" s="20"/>
    </row>
    <row r="167" spans="1:17" ht="20.100000000000001" customHeight="1">
      <c r="A167" s="39" t="s">
        <v>56</v>
      </c>
      <c r="B167" s="18" t="s">
        <v>403</v>
      </c>
      <c r="C167" s="22" t="s">
        <v>8</v>
      </c>
      <c r="D167" s="49">
        <v>1006280</v>
      </c>
      <c r="E167" s="21" t="str">
        <f ca="1">TEXT(Table1[[#This Row],[Last Sale Date]],"MMM")</f>
        <v>Nov</v>
      </c>
      <c r="F167" s="27">
        <f ca="1">DATE(2025,11,10) + RANDBETWEEN(0,81)</f>
        <v>45985</v>
      </c>
      <c r="G167" s="49">
        <v>669480</v>
      </c>
      <c r="H167" s="53" t="str">
        <f>TEXT(Table1[[#This Row],[Last Payment Date]],"MMM")</f>
        <v>Dec</v>
      </c>
      <c r="I167" s="28">
        <v>46020</v>
      </c>
      <c r="J167" s="107">
        <f>D167-G167</f>
        <v>336800</v>
      </c>
      <c r="K167" s="21">
        <v>7</v>
      </c>
      <c r="L167" s="21">
        <v>3</v>
      </c>
      <c r="M167" s="34" t="str">
        <f>IF(J167&gt;3000,"Pending","Settled")</f>
        <v>Pending</v>
      </c>
      <c r="N167" s="34" t="str">
        <f>IF(J167&gt;350000,"Critical",
   IF(J167&gt;200000,"Very High",
      IF(J167&gt;100000,"High",
         IF(J167&gt;30000,"Medium","Low"))))</f>
        <v>Very High</v>
      </c>
      <c r="O167" s="115">
        <f>DATE(2026,1,30) - Table1[[#This Row],[Last Payment Date]]</f>
        <v>32</v>
      </c>
      <c r="P167" s="23" t="str">
        <f>IF(Table1[[#This Row],[Days Since Last Collection]]&lt;=45,"Active", IF(Table1[[#This Row],[Days Since Last Collection]]&lt;=75,"Moderate","Inactive"))</f>
        <v>Active</v>
      </c>
      <c r="Q167" s="20"/>
    </row>
    <row r="168" spans="1:17" ht="20.100000000000001" customHeight="1">
      <c r="A168" s="39" t="s">
        <v>40</v>
      </c>
      <c r="B168" s="18" t="s">
        <v>259</v>
      </c>
      <c r="C168" s="22" t="s">
        <v>8</v>
      </c>
      <c r="D168" s="49">
        <v>666570</v>
      </c>
      <c r="E168" s="21" t="str">
        <f ca="1">TEXT(Table1[[#This Row],[Last Sale Date]],"MMM")</f>
        <v>Nov</v>
      </c>
      <c r="F168" s="27">
        <f ca="1">DATE(2025,11,10) + RANDBETWEEN(0,81)</f>
        <v>45977</v>
      </c>
      <c r="G168" s="49">
        <v>200000</v>
      </c>
      <c r="H168" s="53" t="str">
        <f>TEXT(Table1[[#This Row],[Last Payment Date]],"MMM")</f>
        <v>Jan</v>
      </c>
      <c r="I168" s="28">
        <v>46035</v>
      </c>
      <c r="J168" s="107">
        <f>D168-G168</f>
        <v>466570</v>
      </c>
      <c r="K168" s="21">
        <v>4</v>
      </c>
      <c r="L168" s="21">
        <v>3</v>
      </c>
      <c r="M168" s="34" t="str">
        <f>IF(J168&gt;3000,"Pending","Settled")</f>
        <v>Pending</v>
      </c>
      <c r="N168" s="34" t="str">
        <f>IF(J168&gt;350000,"Critical",
   IF(J168&gt;200000,"Very High",
      IF(J168&gt;100000,"High",
         IF(J168&gt;30000,"Medium","Low"))))</f>
        <v>Critical</v>
      </c>
      <c r="O168" s="115">
        <f>DATE(2026,1,30) - Table1[[#This Row],[Last Payment Date]]</f>
        <v>17</v>
      </c>
      <c r="P168" s="23" t="str">
        <f>IF(Table1[[#This Row],[Days Since Last Collection]]&lt;=45,"Active", IF(Table1[[#This Row],[Days Since Last Collection]]&lt;=75,"Moderate","Inactive"))</f>
        <v>Active</v>
      </c>
      <c r="Q168" s="20"/>
    </row>
    <row r="169" spans="1:17" ht="20.100000000000001" customHeight="1">
      <c r="A169" s="39" t="s">
        <v>404</v>
      </c>
      <c r="B169" s="18" t="s">
        <v>405</v>
      </c>
      <c r="C169" s="22" t="s">
        <v>4</v>
      </c>
      <c r="D169" s="49">
        <v>2144640</v>
      </c>
      <c r="E169" s="21" t="str">
        <f ca="1">TEXT(Table1[[#This Row],[Last Sale Date]],"MMM")</f>
        <v>Dec</v>
      </c>
      <c r="F169" s="27">
        <f ca="1">DATE(2025,11,10) + RANDBETWEEN(0,81)</f>
        <v>45993</v>
      </c>
      <c r="G169" s="49">
        <v>1899680</v>
      </c>
      <c r="H169" s="53" t="str">
        <f>TEXT(Table1[[#This Row],[Last Payment Date]],"MMM")</f>
        <v>Jan</v>
      </c>
      <c r="I169" s="28">
        <v>46027</v>
      </c>
      <c r="J169" s="107">
        <f>D169-G169</f>
        <v>244960</v>
      </c>
      <c r="K169" s="21">
        <v>1</v>
      </c>
      <c r="L169" s="21">
        <v>4</v>
      </c>
      <c r="M169" s="34" t="str">
        <f>IF(J169&gt;3000,"Pending","Settled")</f>
        <v>Pending</v>
      </c>
      <c r="N169" s="34" t="str">
        <f>IF(J169&gt;350000,"Critical",
   IF(J169&gt;200000,"Very High",
      IF(J169&gt;100000,"High",
         IF(J169&gt;30000,"Medium","Low"))))</f>
        <v>Very High</v>
      </c>
      <c r="O169" s="115">
        <f>DATE(2026,1,30) - Table1[[#This Row],[Last Payment Date]]</f>
        <v>25</v>
      </c>
      <c r="P169" s="23" t="str">
        <f>IF(Table1[[#This Row],[Days Since Last Collection]]&lt;=45,"Active", IF(Table1[[#This Row],[Days Since Last Collection]]&lt;=75,"Moderate","Inactive"))</f>
        <v>Active</v>
      </c>
      <c r="Q169" s="20"/>
    </row>
    <row r="170" spans="1:17" ht="20.100000000000001" customHeight="1">
      <c r="A170" s="39" t="s">
        <v>92</v>
      </c>
      <c r="B170" s="18" t="s">
        <v>406</v>
      </c>
      <c r="C170" s="22" t="s">
        <v>7</v>
      </c>
      <c r="D170" s="49">
        <v>1696110</v>
      </c>
      <c r="E170" s="21" t="str">
        <f ca="1">TEXT(Table1[[#This Row],[Last Sale Date]],"MMM")</f>
        <v>Dec</v>
      </c>
      <c r="F170" s="27">
        <f ca="1">DATE(2025,11,10) + RANDBETWEEN(0,81)</f>
        <v>46006</v>
      </c>
      <c r="G170" s="49">
        <v>1497430</v>
      </c>
      <c r="H170" s="53" t="str">
        <f>TEXT(Table1[[#This Row],[Last Payment Date]],"MMM")</f>
        <v>Jan</v>
      </c>
      <c r="I170" s="28">
        <v>46031</v>
      </c>
      <c r="J170" s="107">
        <f>D170-G170</f>
        <v>198680</v>
      </c>
      <c r="K170" s="21">
        <v>1</v>
      </c>
      <c r="L170" s="21">
        <v>2</v>
      </c>
      <c r="M170" s="34" t="str">
        <f>IF(J170&gt;3000,"Pending","Settled")</f>
        <v>Pending</v>
      </c>
      <c r="N170" s="34" t="str">
        <f>IF(J170&gt;350000,"Critical",
   IF(J170&gt;200000,"Very High",
      IF(J170&gt;100000,"High",
         IF(J170&gt;30000,"Medium","Low"))))</f>
        <v>High</v>
      </c>
      <c r="O170" s="115">
        <f>DATE(2026,1,30) - Table1[[#This Row],[Last Payment Date]]</f>
        <v>21</v>
      </c>
      <c r="P170" s="23" t="str">
        <f>IF(Table1[[#This Row],[Days Since Last Collection]]&lt;=45,"Active", IF(Table1[[#This Row],[Days Since Last Collection]]&lt;=75,"Moderate","Inactive"))</f>
        <v>Active</v>
      </c>
      <c r="Q170" s="20"/>
    </row>
    <row r="171" spans="1:17" ht="20.100000000000001" customHeight="1">
      <c r="A171" s="39" t="s">
        <v>101</v>
      </c>
      <c r="B171" s="18" t="s">
        <v>407</v>
      </c>
      <c r="C171" s="22" t="s">
        <v>11</v>
      </c>
      <c r="D171" s="49">
        <v>1256580</v>
      </c>
      <c r="E171" s="21" t="str">
        <f ca="1">TEXT(Table1[[#This Row],[Last Sale Date]],"MMM")</f>
        <v>Jan</v>
      </c>
      <c r="F171" s="27">
        <f ca="1">DATE(2025,11,10) + RANDBETWEEN(0,81)</f>
        <v>46026</v>
      </c>
      <c r="G171" s="49">
        <v>1091110</v>
      </c>
      <c r="H171" s="53" t="str">
        <f>TEXT(Table1[[#This Row],[Last Payment Date]],"MMM")</f>
        <v>Dec</v>
      </c>
      <c r="I171" s="28">
        <v>46000</v>
      </c>
      <c r="J171" s="107">
        <f>D171-G171</f>
        <v>165470</v>
      </c>
      <c r="K171" s="21">
        <v>4</v>
      </c>
      <c r="L171" s="21">
        <v>2</v>
      </c>
      <c r="M171" s="34" t="str">
        <f>IF(J171&gt;3000,"Pending","Settled")</f>
        <v>Pending</v>
      </c>
      <c r="N171" s="34" t="str">
        <f>IF(J171&gt;350000,"Critical",
   IF(J171&gt;200000,"Very High",
      IF(J171&gt;100000,"High",
         IF(J171&gt;30000,"Medium","Low"))))</f>
        <v>High</v>
      </c>
      <c r="O171" s="115">
        <f>DATE(2026,1,30) - Table1[[#This Row],[Last Payment Date]]</f>
        <v>52</v>
      </c>
      <c r="P171" s="23" t="str">
        <f>IF(Table1[[#This Row],[Days Since Last Collection]]&lt;=45,"Active", IF(Table1[[#This Row],[Days Since Last Collection]]&lt;=75,"Moderate","Inactive"))</f>
        <v>Moderate</v>
      </c>
      <c r="Q171" s="20"/>
    </row>
    <row r="172" spans="1:17" ht="20.100000000000001" customHeight="1">
      <c r="A172" s="39" t="s">
        <v>63</v>
      </c>
      <c r="B172" s="18" t="s">
        <v>408</v>
      </c>
      <c r="C172" s="22" t="s">
        <v>4</v>
      </c>
      <c r="D172" s="49">
        <v>2337540</v>
      </c>
      <c r="E172" s="21" t="str">
        <f ca="1">TEXT(Table1[[#This Row],[Last Sale Date]],"MMM")</f>
        <v>Jan</v>
      </c>
      <c r="F172" s="27">
        <f ca="1">DATE(2025,11,10) + RANDBETWEEN(0,81)</f>
        <v>46049</v>
      </c>
      <c r="G172" s="49">
        <v>2018910</v>
      </c>
      <c r="H172" s="53" t="str">
        <f>TEXT(Table1[[#This Row],[Last Payment Date]],"MMM")</f>
        <v>Nov</v>
      </c>
      <c r="I172" s="28">
        <v>45986</v>
      </c>
      <c r="J172" s="107">
        <f>D172-G172</f>
        <v>318630</v>
      </c>
      <c r="K172" s="21">
        <v>2</v>
      </c>
      <c r="L172" s="21">
        <v>3</v>
      </c>
      <c r="M172" s="34" t="str">
        <f>IF(J172&gt;3000,"Pending","Settled")</f>
        <v>Pending</v>
      </c>
      <c r="N172" s="34" t="str">
        <f>IF(J172&gt;350000,"Critical",
   IF(J172&gt;200000,"Very High",
      IF(J172&gt;100000,"High",
         IF(J172&gt;30000,"Medium","Low"))))</f>
        <v>Very High</v>
      </c>
      <c r="O172" s="115">
        <f>DATE(2026,1,30) - Table1[[#This Row],[Last Payment Date]]</f>
        <v>66</v>
      </c>
      <c r="P172" s="23" t="str">
        <f>IF(Table1[[#This Row],[Days Since Last Collection]]&lt;=45,"Active", IF(Table1[[#This Row],[Days Since Last Collection]]&lt;=75,"Moderate","Inactive"))</f>
        <v>Moderate</v>
      </c>
      <c r="Q172" s="20"/>
    </row>
    <row r="173" spans="1:17" ht="20.100000000000001" customHeight="1">
      <c r="A173" s="39" t="s">
        <v>76</v>
      </c>
      <c r="B173" s="18" t="s">
        <v>409</v>
      </c>
      <c r="C173" s="22" t="s">
        <v>4</v>
      </c>
      <c r="D173" s="49">
        <v>1337040</v>
      </c>
      <c r="E173" s="21" t="str">
        <f ca="1">TEXT(Table1[[#This Row],[Last Sale Date]],"MMM")</f>
        <v>Dec</v>
      </c>
      <c r="F173" s="27">
        <f ca="1">DATE(2025,11,10) + RANDBETWEEN(0,81)</f>
        <v>45997</v>
      </c>
      <c r="G173" s="49">
        <v>1069310</v>
      </c>
      <c r="H173" s="53" t="str">
        <f>TEXT(Table1[[#This Row],[Last Payment Date]],"MMM")</f>
        <v>Dec</v>
      </c>
      <c r="I173" s="28">
        <v>45996</v>
      </c>
      <c r="J173" s="107">
        <f>D173-G173</f>
        <v>267730</v>
      </c>
      <c r="K173" s="21">
        <v>3</v>
      </c>
      <c r="L173" s="21">
        <v>2</v>
      </c>
      <c r="M173" s="34" t="str">
        <f>IF(J173&gt;3000,"Pending","Settled")</f>
        <v>Pending</v>
      </c>
      <c r="N173" s="34" t="str">
        <f>IF(J173&gt;350000,"Critical",
   IF(J173&gt;200000,"Very High",
      IF(J173&gt;100000,"High",
         IF(J173&gt;30000,"Medium","Low"))))</f>
        <v>Very High</v>
      </c>
      <c r="O173" s="115">
        <f>DATE(2026,1,30) - Table1[[#This Row],[Last Payment Date]]</f>
        <v>56</v>
      </c>
      <c r="P173" s="23" t="str">
        <f>IF(Table1[[#This Row],[Days Since Last Collection]]&lt;=45,"Active", IF(Table1[[#This Row],[Days Since Last Collection]]&lt;=75,"Moderate","Inactive"))</f>
        <v>Moderate</v>
      </c>
      <c r="Q173" s="20"/>
    </row>
    <row r="174" spans="1:17" ht="20.100000000000001" customHeight="1">
      <c r="A174" s="39" t="s">
        <v>137</v>
      </c>
      <c r="B174" s="18" t="s">
        <v>410</v>
      </c>
      <c r="C174" s="22" t="s">
        <v>11</v>
      </c>
      <c r="D174" s="49">
        <v>1954030</v>
      </c>
      <c r="E174" s="21" t="str">
        <f ca="1">TEXT(Table1[[#This Row],[Last Sale Date]],"MMM")</f>
        <v>Jan</v>
      </c>
      <c r="F174" s="27">
        <f ca="1">DATE(2025,11,10) + RANDBETWEEN(0,81)</f>
        <v>46032</v>
      </c>
      <c r="G174" s="49">
        <v>1871480</v>
      </c>
      <c r="H174" s="53" t="str">
        <f>TEXT(Table1[[#This Row],[Last Payment Date]],"MMM")</f>
        <v>Jan</v>
      </c>
      <c r="I174" s="28">
        <v>46041</v>
      </c>
      <c r="J174" s="107">
        <f>D174-G174</f>
        <v>82550</v>
      </c>
      <c r="K174" s="21">
        <v>5</v>
      </c>
      <c r="L174" s="21">
        <v>2</v>
      </c>
      <c r="M174" s="34" t="str">
        <f>IF(J174&gt;3000,"Pending","Settled")</f>
        <v>Pending</v>
      </c>
      <c r="N174" s="34" t="str">
        <f>IF(J174&gt;350000,"Critical",
   IF(J174&gt;200000,"Very High",
      IF(J174&gt;100000,"High",
         IF(J174&gt;30000,"Medium","Low"))))</f>
        <v>Medium</v>
      </c>
      <c r="O174" s="115">
        <f>DATE(2026,1,30) - Table1[[#This Row],[Last Payment Date]]</f>
        <v>11</v>
      </c>
      <c r="P174" s="23" t="str">
        <f>IF(Table1[[#This Row],[Days Since Last Collection]]&lt;=45,"Active", IF(Table1[[#This Row],[Days Since Last Collection]]&lt;=75,"Moderate","Inactive"))</f>
        <v>Active</v>
      </c>
      <c r="Q174" s="20"/>
    </row>
    <row r="175" spans="1:17" ht="20.100000000000001" customHeight="1">
      <c r="A175" s="39" t="s">
        <v>141</v>
      </c>
      <c r="B175" s="18" t="s">
        <v>259</v>
      </c>
      <c r="C175" s="22" t="s">
        <v>12</v>
      </c>
      <c r="D175" s="49">
        <v>1803480</v>
      </c>
      <c r="E175" s="21" t="str">
        <f ca="1">TEXT(Table1[[#This Row],[Last Sale Date]],"MMM")</f>
        <v>Nov</v>
      </c>
      <c r="F175" s="27">
        <f ca="1">DATE(2025,11,10) + RANDBETWEEN(0,81)</f>
        <v>45975</v>
      </c>
      <c r="G175" s="49">
        <v>1731870</v>
      </c>
      <c r="H175" s="53" t="str">
        <f>TEXT(Table1[[#This Row],[Last Payment Date]],"MMM")</f>
        <v>Jan</v>
      </c>
      <c r="I175" s="28">
        <v>46035</v>
      </c>
      <c r="J175" s="107">
        <f>D175-G175</f>
        <v>71610</v>
      </c>
      <c r="K175" s="21">
        <v>6</v>
      </c>
      <c r="L175" s="21">
        <v>3</v>
      </c>
      <c r="M175" s="34" t="str">
        <f>IF(J175&gt;3000,"Pending","Settled")</f>
        <v>Pending</v>
      </c>
      <c r="N175" s="34" t="str">
        <f>IF(J175&gt;350000,"Critical",
   IF(J175&gt;200000,"Very High",
      IF(J175&gt;100000,"High",
         IF(J175&gt;30000,"Medium","Low"))))</f>
        <v>Medium</v>
      </c>
      <c r="O175" s="115">
        <f>DATE(2026,1,30) - Table1[[#This Row],[Last Payment Date]]</f>
        <v>17</v>
      </c>
      <c r="P175" s="23" t="str">
        <f>IF(Table1[[#This Row],[Days Since Last Collection]]&lt;=45,"Active", IF(Table1[[#This Row],[Days Since Last Collection]]&lt;=75,"Moderate","Inactive"))</f>
        <v>Active</v>
      </c>
      <c r="Q175" s="20"/>
    </row>
    <row r="176" spans="1:17" ht="20.100000000000001" customHeight="1">
      <c r="A176" s="39" t="s">
        <v>228</v>
      </c>
      <c r="B176" s="18" t="s">
        <v>411</v>
      </c>
      <c r="C176" s="22" t="s">
        <v>12</v>
      </c>
      <c r="D176" s="49">
        <v>12570</v>
      </c>
      <c r="E176" s="21" t="str">
        <f ca="1">TEXT(Table1[[#This Row],[Last Sale Date]],"MMM")</f>
        <v>Dec</v>
      </c>
      <c r="F176" s="27">
        <f ca="1">DATE(2025,11,10) + RANDBETWEEN(0,81)</f>
        <v>45992</v>
      </c>
      <c r="G176" s="49">
        <v>10000</v>
      </c>
      <c r="H176" s="53" t="str">
        <f>TEXT(Table1[[#This Row],[Last Payment Date]],"MMM")</f>
        <v>Dec</v>
      </c>
      <c r="I176" s="28">
        <v>46019</v>
      </c>
      <c r="J176" s="107">
        <f>D176-G176</f>
        <v>2570</v>
      </c>
      <c r="K176" s="21">
        <v>6</v>
      </c>
      <c r="L176" s="21">
        <v>2</v>
      </c>
      <c r="M176" s="34" t="str">
        <f>IF(J176&gt;3000,"Pending","Settled")</f>
        <v>Settled</v>
      </c>
      <c r="N176" s="34" t="str">
        <f>IF(J176&gt;350000,"Critical",
   IF(J176&gt;200000,"Very High",
      IF(J176&gt;100000,"High",
         IF(J176&gt;30000,"Medium","Low"))))</f>
        <v>Low</v>
      </c>
      <c r="O176" s="115">
        <f>DATE(2026,1,30) - Table1[[#This Row],[Last Payment Date]]</f>
        <v>33</v>
      </c>
      <c r="P176" s="23" t="str">
        <f>IF(Table1[[#This Row],[Days Since Last Collection]]&lt;=45,"Active", IF(Table1[[#This Row],[Days Since Last Collection]]&lt;=75,"Moderate","Inactive"))</f>
        <v>Active</v>
      </c>
      <c r="Q176" s="20"/>
    </row>
    <row r="177" spans="1:17" ht="20.100000000000001" customHeight="1">
      <c r="A177" s="39" t="s">
        <v>132</v>
      </c>
      <c r="B177" s="18" t="s">
        <v>412</v>
      </c>
      <c r="C177" s="22" t="s">
        <v>4</v>
      </c>
      <c r="D177" s="49">
        <v>2329060</v>
      </c>
      <c r="E177" s="21" t="str">
        <f ca="1">TEXT(Table1[[#This Row],[Last Sale Date]],"MMM")</f>
        <v>Nov</v>
      </c>
      <c r="F177" s="27">
        <f ca="1">DATE(2025,11,10) + RANDBETWEEN(0,81)</f>
        <v>45980</v>
      </c>
      <c r="G177" s="49">
        <v>2233130</v>
      </c>
      <c r="H177" s="53" t="str">
        <f>TEXT(Table1[[#This Row],[Last Payment Date]],"MMM")</f>
        <v>Dec</v>
      </c>
      <c r="I177" s="28">
        <v>46018</v>
      </c>
      <c r="J177" s="107">
        <f>D177-G177</f>
        <v>95930</v>
      </c>
      <c r="K177" s="21">
        <v>2</v>
      </c>
      <c r="L177" s="21">
        <v>2</v>
      </c>
      <c r="M177" s="34" t="str">
        <f>IF(J177&gt;3000,"Pending","Settled")</f>
        <v>Pending</v>
      </c>
      <c r="N177" s="34" t="str">
        <f>IF(J177&gt;350000,"Critical",
   IF(J177&gt;200000,"Very High",
      IF(J177&gt;100000,"High",
         IF(J177&gt;30000,"Medium","Low"))))</f>
        <v>Medium</v>
      </c>
      <c r="O177" s="115">
        <f>DATE(2026,1,30) - Table1[[#This Row],[Last Payment Date]]</f>
        <v>34</v>
      </c>
      <c r="P177" s="23" t="str">
        <f>IF(Table1[[#This Row],[Days Since Last Collection]]&lt;=45,"Active", IF(Table1[[#This Row],[Days Since Last Collection]]&lt;=75,"Moderate","Inactive"))</f>
        <v>Active</v>
      </c>
      <c r="Q177" s="20"/>
    </row>
    <row r="178" spans="1:17" ht="20.100000000000001" customHeight="1">
      <c r="A178" s="39" t="s">
        <v>163</v>
      </c>
      <c r="B178" s="18" t="s">
        <v>254</v>
      </c>
      <c r="C178" s="22" t="s">
        <v>11</v>
      </c>
      <c r="D178" s="49">
        <v>65670</v>
      </c>
      <c r="E178" s="21" t="str">
        <f ca="1">TEXT(Table1[[#This Row],[Last Sale Date]],"MMM")</f>
        <v>Nov</v>
      </c>
      <c r="F178" s="27">
        <f ca="1">DATE(2025,11,10) + RANDBETWEEN(0,81)</f>
        <v>45974</v>
      </c>
      <c r="G178" s="49">
        <v>24000</v>
      </c>
      <c r="H178" s="53" t="str">
        <f>TEXT(Table1[[#This Row],[Last Payment Date]],"MMM")</f>
        <v>Nov</v>
      </c>
      <c r="I178" s="28">
        <v>45976</v>
      </c>
      <c r="J178" s="107">
        <f>D178-G178</f>
        <v>41670</v>
      </c>
      <c r="K178" s="21">
        <v>0</v>
      </c>
      <c r="L178" s="21">
        <v>4</v>
      </c>
      <c r="M178" s="34" t="str">
        <f>IF(J178&gt;3000,"Pending","Settled")</f>
        <v>Pending</v>
      </c>
      <c r="N178" s="34" t="str">
        <f>IF(J178&gt;350000,"Critical",
   IF(J178&gt;200000,"Very High",
      IF(J178&gt;100000,"High",
         IF(J178&gt;30000,"Medium","Low"))))</f>
        <v>Medium</v>
      </c>
      <c r="O178" s="115">
        <f>DATE(2026,1,30) - Table1[[#This Row],[Last Payment Date]]</f>
        <v>76</v>
      </c>
      <c r="P178" s="23" t="str">
        <f>IF(Table1[[#This Row],[Days Since Last Collection]]&lt;=45,"Active", IF(Table1[[#This Row],[Days Since Last Collection]]&lt;=75,"Moderate","Inactive"))</f>
        <v>Inactive</v>
      </c>
      <c r="Q178" s="20"/>
    </row>
    <row r="179" spans="1:17" ht="20.100000000000001" customHeight="1">
      <c r="A179" s="39" t="s">
        <v>123</v>
      </c>
      <c r="B179" s="18" t="s">
        <v>413</v>
      </c>
      <c r="C179" s="22" t="s">
        <v>4</v>
      </c>
      <c r="D179" s="49">
        <v>1082080</v>
      </c>
      <c r="E179" s="21" t="str">
        <f ca="1">TEXT(Table1[[#This Row],[Last Sale Date]],"MMM")</f>
        <v>Nov</v>
      </c>
      <c r="F179" s="27">
        <f ca="1">DATE(2025,11,10) + RANDBETWEEN(0,81)</f>
        <v>45972</v>
      </c>
      <c r="G179" s="49">
        <v>972330</v>
      </c>
      <c r="H179" s="53" t="str">
        <f>TEXT(Table1[[#This Row],[Last Payment Date]],"MMM")</f>
        <v>Dec</v>
      </c>
      <c r="I179" s="28">
        <v>46011</v>
      </c>
      <c r="J179" s="107">
        <f>D179-G179</f>
        <v>109750</v>
      </c>
      <c r="K179" s="21">
        <v>1</v>
      </c>
      <c r="L179" s="21">
        <v>1</v>
      </c>
      <c r="M179" s="34" t="str">
        <f>IF(J179&gt;3000,"Pending","Settled")</f>
        <v>Pending</v>
      </c>
      <c r="N179" s="34" t="str">
        <f>IF(J179&gt;350000,"Critical",
   IF(J179&gt;200000,"Very High",
      IF(J179&gt;100000,"High",
         IF(J179&gt;30000,"Medium","Low"))))</f>
        <v>High</v>
      </c>
      <c r="O179" s="115">
        <f>DATE(2026,1,30) - Table1[[#This Row],[Last Payment Date]]</f>
        <v>41</v>
      </c>
      <c r="P179" s="23" t="str">
        <f>IF(Table1[[#This Row],[Days Since Last Collection]]&lt;=45,"Active", IF(Table1[[#This Row],[Days Since Last Collection]]&lt;=75,"Moderate","Inactive"))</f>
        <v>Active</v>
      </c>
      <c r="Q179" s="20"/>
    </row>
    <row r="180" spans="1:17" ht="20.100000000000001" customHeight="1">
      <c r="A180" s="39" t="s">
        <v>217</v>
      </c>
      <c r="B180" s="18" t="s">
        <v>414</v>
      </c>
      <c r="C180" s="22" t="s">
        <v>7</v>
      </c>
      <c r="D180" s="49">
        <v>10400</v>
      </c>
      <c r="E180" s="21" t="str">
        <f ca="1">TEXT(Table1[[#This Row],[Last Sale Date]],"MMM")</f>
        <v>Jan</v>
      </c>
      <c r="F180" s="27">
        <f ca="1">DATE(2025,11,10) + RANDBETWEEN(0,81)</f>
        <v>46026</v>
      </c>
      <c r="G180" s="49">
        <v>7000</v>
      </c>
      <c r="H180" s="53" t="str">
        <f>TEXT(Table1[[#This Row],[Last Payment Date]],"MMM")</f>
        <v>Jan</v>
      </c>
      <c r="I180" s="28">
        <v>46032</v>
      </c>
      <c r="J180" s="107">
        <f>D180-G180</f>
        <v>3400</v>
      </c>
      <c r="K180" s="21">
        <v>4</v>
      </c>
      <c r="L180" s="21">
        <v>1</v>
      </c>
      <c r="M180" s="34" t="str">
        <f>IF(J180&gt;3000,"Pending","Settled")</f>
        <v>Pending</v>
      </c>
      <c r="N180" s="34" t="str">
        <f>IF(J180&gt;350000,"Critical",
   IF(J180&gt;200000,"Very High",
      IF(J180&gt;100000,"High",
         IF(J180&gt;30000,"Medium","Low"))))</f>
        <v>Low</v>
      </c>
      <c r="O180" s="115">
        <f>DATE(2026,1,30) - Table1[[#This Row],[Last Payment Date]]</f>
        <v>20</v>
      </c>
      <c r="P180" s="23" t="str">
        <f>IF(Table1[[#This Row],[Days Since Last Collection]]&lt;=45,"Active", IF(Table1[[#This Row],[Days Since Last Collection]]&lt;=75,"Moderate","Inactive"))</f>
        <v>Active</v>
      </c>
      <c r="Q180" s="20"/>
    </row>
    <row r="181" spans="1:17" ht="20.100000000000001" customHeight="1">
      <c r="A181" s="39" t="s">
        <v>225</v>
      </c>
      <c r="B181" s="18" t="s">
        <v>415</v>
      </c>
      <c r="C181" s="22" t="s">
        <v>12</v>
      </c>
      <c r="D181" s="49">
        <v>22480</v>
      </c>
      <c r="E181" s="21" t="str">
        <f ca="1">TEXT(Table1[[#This Row],[Last Sale Date]],"MMM")</f>
        <v>Nov</v>
      </c>
      <c r="F181" s="27">
        <f ca="1">DATE(2025,11,10) + RANDBETWEEN(0,81)</f>
        <v>45975</v>
      </c>
      <c r="G181" s="49">
        <v>19720</v>
      </c>
      <c r="H181" s="53" t="str">
        <f>TEXT(Table1[[#This Row],[Last Payment Date]],"MMM")</f>
        <v>Nov</v>
      </c>
      <c r="I181" s="28">
        <v>45986</v>
      </c>
      <c r="J181" s="107">
        <f>D181-G181</f>
        <v>2760</v>
      </c>
      <c r="K181" s="21">
        <v>4</v>
      </c>
      <c r="L181" s="21">
        <v>2</v>
      </c>
      <c r="M181" s="34" t="str">
        <f>IF(J181&gt;3000,"Pending","Settled")</f>
        <v>Settled</v>
      </c>
      <c r="N181" s="34" t="str">
        <f>IF(J181&gt;350000,"Critical",
   IF(J181&gt;200000,"Very High",
      IF(J181&gt;100000,"High",
         IF(J181&gt;30000,"Medium","Low"))))</f>
        <v>Low</v>
      </c>
      <c r="O181" s="115">
        <f>DATE(2026,1,30) - Table1[[#This Row],[Last Payment Date]]</f>
        <v>66</v>
      </c>
      <c r="P181" s="23" t="str">
        <f>IF(Table1[[#This Row],[Days Since Last Collection]]&lt;=45,"Active", IF(Table1[[#This Row],[Days Since Last Collection]]&lt;=75,"Moderate","Inactive"))</f>
        <v>Moderate</v>
      </c>
      <c r="Q181" s="20"/>
    </row>
    <row r="182" spans="1:17" ht="20.100000000000001" customHeight="1">
      <c r="A182" s="39" t="s">
        <v>232</v>
      </c>
      <c r="B182" s="18" t="s">
        <v>416</v>
      </c>
      <c r="C182" s="22" t="s">
        <v>7</v>
      </c>
      <c r="D182" s="49">
        <v>12100</v>
      </c>
      <c r="E182" s="21" t="str">
        <f ca="1">TEXT(Table1[[#This Row],[Last Sale Date]],"MMM")</f>
        <v>Dec</v>
      </c>
      <c r="F182" s="27">
        <f ca="1">DATE(2025,11,10) + RANDBETWEEN(0,81)</f>
        <v>45994</v>
      </c>
      <c r="G182" s="49">
        <v>10340</v>
      </c>
      <c r="H182" s="53" t="str">
        <f>TEXT(Table1[[#This Row],[Last Payment Date]],"MMM")</f>
        <v>Jan</v>
      </c>
      <c r="I182" s="28">
        <v>46025</v>
      </c>
      <c r="J182" s="107">
        <f>D182-G182</f>
        <v>1760</v>
      </c>
      <c r="K182" s="21">
        <v>1</v>
      </c>
      <c r="L182" s="21">
        <v>2</v>
      </c>
      <c r="M182" s="34" t="str">
        <f>IF(J182&gt;3000,"Pending","Settled")</f>
        <v>Settled</v>
      </c>
      <c r="N182" s="34" t="str">
        <f>IF(J182&gt;350000,"Critical",
   IF(J182&gt;200000,"Very High",
      IF(J182&gt;100000,"High",
         IF(J182&gt;30000,"Medium","Low"))))</f>
        <v>Low</v>
      </c>
      <c r="O182" s="115">
        <f>DATE(2026,1,30) - Table1[[#This Row],[Last Payment Date]]</f>
        <v>27</v>
      </c>
      <c r="P182" s="23" t="str">
        <f>IF(Table1[[#This Row],[Days Since Last Collection]]&lt;=45,"Active", IF(Table1[[#This Row],[Days Since Last Collection]]&lt;=75,"Moderate","Inactive"))</f>
        <v>Active</v>
      </c>
      <c r="Q182" s="20"/>
    </row>
    <row r="183" spans="1:17" ht="20.100000000000001" customHeight="1">
      <c r="A183" s="39" t="s">
        <v>107</v>
      </c>
      <c r="B183" s="18" t="s">
        <v>417</v>
      </c>
      <c r="C183" s="22" t="s">
        <v>4</v>
      </c>
      <c r="D183" s="49">
        <v>2273980</v>
      </c>
      <c r="E183" s="21" t="str">
        <f ca="1">TEXT(Table1[[#This Row],[Last Sale Date]],"MMM")</f>
        <v>Jan</v>
      </c>
      <c r="F183" s="27">
        <f ca="1">DATE(2025,11,10) + RANDBETWEEN(0,81)</f>
        <v>46035</v>
      </c>
      <c r="G183" s="49">
        <v>2122050</v>
      </c>
      <c r="H183" s="53" t="str">
        <f>TEXT(Table1[[#This Row],[Last Payment Date]],"MMM")</f>
        <v>Dec</v>
      </c>
      <c r="I183" s="28">
        <v>46012</v>
      </c>
      <c r="J183" s="107">
        <f>D183-G183</f>
        <v>151930</v>
      </c>
      <c r="K183" s="21">
        <v>9</v>
      </c>
      <c r="L183" s="21">
        <v>3</v>
      </c>
      <c r="M183" s="34" t="str">
        <f>IF(J183&gt;3000,"Pending","Settled")</f>
        <v>Pending</v>
      </c>
      <c r="N183" s="34" t="str">
        <f>IF(J183&gt;350000,"Critical",
   IF(J183&gt;200000,"Very High",
      IF(J183&gt;100000,"High",
         IF(J183&gt;30000,"Medium","Low"))))</f>
        <v>High</v>
      </c>
      <c r="O183" s="115">
        <f>DATE(2026,1,30) - Table1[[#This Row],[Last Payment Date]]</f>
        <v>40</v>
      </c>
      <c r="P183" s="23" t="str">
        <f>IF(Table1[[#This Row],[Days Since Last Collection]]&lt;=45,"Active", IF(Table1[[#This Row],[Days Since Last Collection]]&lt;=75,"Moderate","Inactive"))</f>
        <v>Active</v>
      </c>
      <c r="Q183" s="20"/>
    </row>
    <row r="184" spans="1:17" ht="20.100000000000001" customHeight="1">
      <c r="A184" s="39" t="s">
        <v>44</v>
      </c>
      <c r="B184" s="18" t="s">
        <v>418</v>
      </c>
      <c r="C184" s="22" t="s">
        <v>12</v>
      </c>
      <c r="D184" s="49">
        <v>1284670</v>
      </c>
      <c r="E184" s="21" t="str">
        <f ca="1">TEXT(Table1[[#This Row],[Last Sale Date]],"MMM")</f>
        <v>Jan</v>
      </c>
      <c r="F184" s="27">
        <f ca="1">DATE(2025,11,10) + RANDBETWEEN(0,81)</f>
        <v>46030</v>
      </c>
      <c r="G184" s="49">
        <v>859040</v>
      </c>
      <c r="H184" s="53" t="str">
        <f>TEXT(Table1[[#This Row],[Last Payment Date]],"MMM")</f>
        <v>Nov</v>
      </c>
      <c r="I184" s="28">
        <v>45976</v>
      </c>
      <c r="J184" s="107">
        <f>D184-G184</f>
        <v>425630</v>
      </c>
      <c r="K184" s="21">
        <v>3</v>
      </c>
      <c r="L184" s="21">
        <v>4</v>
      </c>
      <c r="M184" s="34" t="str">
        <f>IF(J184&gt;3000,"Pending","Settled")</f>
        <v>Pending</v>
      </c>
      <c r="N184" s="34" t="str">
        <f>IF(J184&gt;350000,"Critical",
   IF(J184&gt;200000,"Very High",
      IF(J184&gt;100000,"High",
         IF(J184&gt;30000,"Medium","Low"))))</f>
        <v>Critical</v>
      </c>
      <c r="O184" s="115">
        <f>DATE(2026,1,30) - Table1[[#This Row],[Last Payment Date]]</f>
        <v>76</v>
      </c>
      <c r="P184" s="23" t="str">
        <f>IF(Table1[[#This Row],[Days Since Last Collection]]&lt;=45,"Active", IF(Table1[[#This Row],[Days Since Last Collection]]&lt;=75,"Moderate","Inactive"))</f>
        <v>Inactive</v>
      </c>
      <c r="Q184" s="20"/>
    </row>
    <row r="185" spans="1:17" ht="20.100000000000001" customHeight="1">
      <c r="A185" s="39" t="s">
        <v>158</v>
      </c>
      <c r="B185" s="18" t="s">
        <v>419</v>
      </c>
      <c r="C185" s="22" t="s">
        <v>12</v>
      </c>
      <c r="D185" s="49">
        <v>69540</v>
      </c>
      <c r="E185" s="21" t="str">
        <f ca="1">TEXT(Table1[[#This Row],[Last Sale Date]],"MMM")</f>
        <v>Dec</v>
      </c>
      <c r="F185" s="27">
        <f ca="1">DATE(2025,11,10) + RANDBETWEEN(0,81)</f>
        <v>45999</v>
      </c>
      <c r="G185" s="49">
        <v>20000</v>
      </c>
      <c r="H185" s="53" t="str">
        <f>TEXT(Table1[[#This Row],[Last Payment Date]],"MMM")</f>
        <v>Dec</v>
      </c>
      <c r="I185" s="28">
        <v>46003</v>
      </c>
      <c r="J185" s="107">
        <f>D185-G185</f>
        <v>49540</v>
      </c>
      <c r="K185" s="21">
        <v>1</v>
      </c>
      <c r="L185" s="21">
        <v>1</v>
      </c>
      <c r="M185" s="34" t="str">
        <f>IF(J185&gt;3000,"Pending","Settled")</f>
        <v>Pending</v>
      </c>
      <c r="N185" s="34" t="str">
        <f>IF(J185&gt;350000,"Critical",
   IF(J185&gt;200000,"Very High",
      IF(J185&gt;100000,"High",
         IF(J185&gt;30000,"Medium","Low"))))</f>
        <v>Medium</v>
      </c>
      <c r="O185" s="115">
        <f>DATE(2026,1,30) - Table1[[#This Row],[Last Payment Date]]</f>
        <v>49</v>
      </c>
      <c r="P185" s="23" t="str">
        <f>IF(Table1[[#This Row],[Days Since Last Collection]]&lt;=45,"Active", IF(Table1[[#This Row],[Days Since Last Collection]]&lt;=75,"Moderate","Inactive"))</f>
        <v>Moderate</v>
      </c>
      <c r="Q185" s="20"/>
    </row>
    <row r="186" spans="1:17" ht="20.100000000000001" customHeight="1">
      <c r="A186" s="39" t="s">
        <v>68</v>
      </c>
      <c r="B186" s="18" t="s">
        <v>420</v>
      </c>
      <c r="C186" s="22" t="s">
        <v>7</v>
      </c>
      <c r="D186" s="49">
        <v>1044170</v>
      </c>
      <c r="E186" s="21" t="str">
        <f ca="1">TEXT(Table1[[#This Row],[Last Sale Date]],"MMM")</f>
        <v>Jan</v>
      </c>
      <c r="F186" s="27">
        <f ca="1">DATE(2025,11,10) + RANDBETWEEN(0,81)</f>
        <v>46037</v>
      </c>
      <c r="G186" s="49">
        <v>741760</v>
      </c>
      <c r="H186" s="53" t="str">
        <f>TEXT(Table1[[#This Row],[Last Payment Date]],"MMM")</f>
        <v>Dec</v>
      </c>
      <c r="I186" s="28">
        <v>46001</v>
      </c>
      <c r="J186" s="107">
        <f>D186-G186</f>
        <v>302410</v>
      </c>
      <c r="K186" s="21">
        <v>3</v>
      </c>
      <c r="L186" s="21">
        <v>2</v>
      </c>
      <c r="M186" s="34" t="str">
        <f>IF(J186&gt;3000,"Pending","Settled")</f>
        <v>Pending</v>
      </c>
      <c r="N186" s="34" t="str">
        <f>IF(J186&gt;350000,"Critical",
   IF(J186&gt;200000,"Very High",
      IF(J186&gt;100000,"High",
         IF(J186&gt;30000,"Medium","Low"))))</f>
        <v>Very High</v>
      </c>
      <c r="O186" s="115">
        <f>DATE(2026,1,30) - Table1[[#This Row],[Last Payment Date]]</f>
        <v>51</v>
      </c>
      <c r="P186" s="23" t="str">
        <f>IF(Table1[[#This Row],[Days Since Last Collection]]&lt;=45,"Active", IF(Table1[[#This Row],[Days Since Last Collection]]&lt;=75,"Moderate","Inactive"))</f>
        <v>Moderate</v>
      </c>
      <c r="Q186" s="20"/>
    </row>
    <row r="187" spans="1:17" ht="20.100000000000001" customHeight="1">
      <c r="A187" s="39" t="s">
        <v>131</v>
      </c>
      <c r="B187" s="18" t="s">
        <v>421</v>
      </c>
      <c r="C187" s="22" t="s">
        <v>11</v>
      </c>
      <c r="D187" s="49">
        <v>2117130</v>
      </c>
      <c r="E187" s="21" t="str">
        <f ca="1">TEXT(Table1[[#This Row],[Last Sale Date]],"MMM")</f>
        <v>Jan</v>
      </c>
      <c r="F187" s="27">
        <f ca="1">DATE(2025,11,10) + RANDBETWEEN(0,81)</f>
        <v>46047</v>
      </c>
      <c r="G187" s="49">
        <v>2020960</v>
      </c>
      <c r="H187" s="53" t="str">
        <f>TEXT(Table1[[#This Row],[Last Payment Date]],"MMM")</f>
        <v>Nov</v>
      </c>
      <c r="I187" s="28">
        <v>45982</v>
      </c>
      <c r="J187" s="107">
        <f>D187-G187</f>
        <v>96170</v>
      </c>
      <c r="K187" s="21">
        <v>2</v>
      </c>
      <c r="L187" s="21">
        <v>2</v>
      </c>
      <c r="M187" s="34" t="str">
        <f>IF(J187&gt;3000,"Pending","Settled")</f>
        <v>Pending</v>
      </c>
      <c r="N187" s="34" t="str">
        <f>IF(J187&gt;350000,"Critical",
   IF(J187&gt;200000,"Very High",
      IF(J187&gt;100000,"High",
         IF(J187&gt;30000,"Medium","Low"))))</f>
        <v>Medium</v>
      </c>
      <c r="O187" s="115">
        <f>DATE(2026,1,30) - Table1[[#This Row],[Last Payment Date]]</f>
        <v>70</v>
      </c>
      <c r="P187" s="23" t="str">
        <f>IF(Table1[[#This Row],[Days Since Last Collection]]&lt;=45,"Active", IF(Table1[[#This Row],[Days Since Last Collection]]&lt;=75,"Moderate","Inactive"))</f>
        <v>Moderate</v>
      </c>
      <c r="Q187" s="20"/>
    </row>
    <row r="188" spans="1:17" ht="20.100000000000001" customHeight="1">
      <c r="A188" s="39" t="s">
        <v>180</v>
      </c>
      <c r="B188" s="18" t="s">
        <v>422</v>
      </c>
      <c r="C188" s="22" t="s">
        <v>7</v>
      </c>
      <c r="D188" s="49">
        <v>38700</v>
      </c>
      <c r="E188" s="21" t="str">
        <f ca="1">TEXT(Table1[[#This Row],[Last Sale Date]],"MMM")</f>
        <v>Jan</v>
      </c>
      <c r="F188" s="27">
        <f ca="1">DATE(2025,11,10) + RANDBETWEEN(0,81)</f>
        <v>46024</v>
      </c>
      <c r="G188" s="49">
        <v>18500</v>
      </c>
      <c r="H188" s="53" t="str">
        <f>TEXT(Table1[[#This Row],[Last Payment Date]],"MMM")</f>
        <v>Dec</v>
      </c>
      <c r="I188" s="28">
        <v>46015</v>
      </c>
      <c r="J188" s="107">
        <f>D188-G188</f>
        <v>20200</v>
      </c>
      <c r="K188" s="21">
        <v>1</v>
      </c>
      <c r="L188" s="21">
        <v>2</v>
      </c>
      <c r="M188" s="34" t="str">
        <f>IF(J188&gt;3000,"Pending","Settled")</f>
        <v>Pending</v>
      </c>
      <c r="N188" s="34" t="str">
        <f>IF(J188&gt;350000,"Critical",
   IF(J188&gt;200000,"Very High",
      IF(J188&gt;100000,"High",
         IF(J188&gt;30000,"Medium","Low"))))</f>
        <v>Low</v>
      </c>
      <c r="O188" s="115">
        <f>DATE(2026,1,30) - Table1[[#This Row],[Last Payment Date]]</f>
        <v>37</v>
      </c>
      <c r="P188" s="23" t="str">
        <f>IF(Table1[[#This Row],[Days Since Last Collection]]&lt;=45,"Active", IF(Table1[[#This Row],[Days Since Last Collection]]&lt;=75,"Moderate","Inactive"))</f>
        <v>Active</v>
      </c>
      <c r="Q188" s="20"/>
    </row>
    <row r="189" spans="1:17" ht="20.100000000000001" customHeight="1">
      <c r="A189" s="39" t="s">
        <v>205</v>
      </c>
      <c r="B189" s="18" t="s">
        <v>269</v>
      </c>
      <c r="C189" s="22" t="s">
        <v>11</v>
      </c>
      <c r="D189" s="49">
        <v>12570</v>
      </c>
      <c r="E189" s="21" t="str">
        <f ca="1">TEXT(Table1[[#This Row],[Last Sale Date]],"MMM")</f>
        <v>Dec</v>
      </c>
      <c r="F189" s="27">
        <f ca="1">DATE(2025,11,10) + RANDBETWEEN(0,81)</f>
        <v>45993</v>
      </c>
      <c r="G189" s="49">
        <v>5500</v>
      </c>
      <c r="H189" s="53" t="str">
        <f>TEXT(Table1[[#This Row],[Last Payment Date]],"MMM")</f>
        <v>Jan</v>
      </c>
      <c r="I189" s="28">
        <v>46044</v>
      </c>
      <c r="J189" s="107">
        <f>D189-G189</f>
        <v>7070</v>
      </c>
      <c r="K189" s="21">
        <v>1</v>
      </c>
      <c r="L189" s="21">
        <v>4</v>
      </c>
      <c r="M189" s="34" t="str">
        <f>IF(J189&gt;3000,"Pending","Settled")</f>
        <v>Pending</v>
      </c>
      <c r="N189" s="34" t="str">
        <f>IF(J189&gt;350000,"Critical",
   IF(J189&gt;200000,"Very High",
      IF(J189&gt;100000,"High",
         IF(J189&gt;30000,"Medium","Low"))))</f>
        <v>Low</v>
      </c>
      <c r="O189" s="115">
        <f>DATE(2026,1,30) - Table1[[#This Row],[Last Payment Date]]</f>
        <v>8</v>
      </c>
      <c r="P189" s="23" t="str">
        <f>IF(Table1[[#This Row],[Days Since Last Collection]]&lt;=45,"Active", IF(Table1[[#This Row],[Days Since Last Collection]]&lt;=75,"Moderate","Inactive"))</f>
        <v>Active</v>
      </c>
      <c r="Q189" s="20"/>
    </row>
    <row r="190" spans="1:17" ht="20.100000000000001" customHeight="1">
      <c r="A190" s="39" t="s">
        <v>170</v>
      </c>
      <c r="B190" s="18" t="s">
        <v>422</v>
      </c>
      <c r="C190" s="22" t="s">
        <v>7</v>
      </c>
      <c r="D190" s="49">
        <v>65670</v>
      </c>
      <c r="E190" s="21" t="str">
        <f ca="1">TEXT(Table1[[#This Row],[Last Sale Date]],"MMM")</f>
        <v>Dec</v>
      </c>
      <c r="F190" s="27">
        <f ca="1">DATE(2025,11,10) + RANDBETWEEN(0,81)</f>
        <v>46020</v>
      </c>
      <c r="G190" s="49">
        <v>37000</v>
      </c>
      <c r="H190" s="53" t="str">
        <f>TEXT(Table1[[#This Row],[Last Payment Date]],"MMM")</f>
        <v>Jan</v>
      </c>
      <c r="I190" s="28">
        <v>46051</v>
      </c>
      <c r="J190" s="107">
        <f>D190-G190</f>
        <v>28670</v>
      </c>
      <c r="K190" s="21">
        <v>1</v>
      </c>
      <c r="L190" s="21">
        <v>4</v>
      </c>
      <c r="M190" s="34" t="str">
        <f>IF(J190&gt;3000,"Pending","Settled")</f>
        <v>Pending</v>
      </c>
      <c r="N190" s="34" t="str">
        <f>IF(J190&gt;350000,"Critical",
   IF(J190&gt;200000,"Very High",
      IF(J190&gt;100000,"High",
         IF(J190&gt;30000,"Medium","Low"))))</f>
        <v>Low</v>
      </c>
      <c r="O190" s="115">
        <f>DATE(2026,1,30) - Table1[[#This Row],[Last Payment Date]]</f>
        <v>1</v>
      </c>
      <c r="P190" s="23" t="str">
        <f>IF(Table1[[#This Row],[Days Since Last Collection]]&lt;=45,"Active", IF(Table1[[#This Row],[Days Since Last Collection]]&lt;=75,"Moderate","Inactive"))</f>
        <v>Active</v>
      </c>
      <c r="Q190" s="20"/>
    </row>
    <row r="191" spans="1:17" ht="20.100000000000001" customHeight="1">
      <c r="A191" s="39" t="s">
        <v>90</v>
      </c>
      <c r="B191" s="18" t="s">
        <v>423</v>
      </c>
      <c r="C191" s="22" t="s">
        <v>11</v>
      </c>
      <c r="D191" s="49">
        <v>2218020</v>
      </c>
      <c r="E191" s="21" t="str">
        <f ca="1">TEXT(Table1[[#This Row],[Last Sale Date]],"MMM")</f>
        <v>Dec</v>
      </c>
      <c r="F191" s="27">
        <f ca="1">DATE(2025,11,10) + RANDBETWEEN(0,81)</f>
        <v>46012</v>
      </c>
      <c r="G191" s="49">
        <v>2002780</v>
      </c>
      <c r="H191" s="53" t="str">
        <f>TEXT(Table1[[#This Row],[Last Payment Date]],"MMM")</f>
        <v>Jan</v>
      </c>
      <c r="I191" s="28">
        <v>46043</v>
      </c>
      <c r="J191" s="107">
        <f>D191-G191</f>
        <v>215240</v>
      </c>
      <c r="K191" s="21">
        <v>1</v>
      </c>
      <c r="L191" s="21">
        <v>3</v>
      </c>
      <c r="M191" s="34" t="str">
        <f>IF(J191&gt;3000,"Pending","Settled")</f>
        <v>Pending</v>
      </c>
      <c r="N191" s="34" t="str">
        <f>IF(J191&gt;350000,"Critical",
   IF(J191&gt;200000,"Very High",
      IF(J191&gt;100000,"High",
         IF(J191&gt;30000,"Medium","Low"))))</f>
        <v>Very High</v>
      </c>
      <c r="O191" s="115">
        <f>DATE(2026,1,30) - Table1[[#This Row],[Last Payment Date]]</f>
        <v>9</v>
      </c>
      <c r="P191" s="23" t="str">
        <f>IF(Table1[[#This Row],[Days Since Last Collection]]&lt;=45,"Active", IF(Table1[[#This Row],[Days Since Last Collection]]&lt;=75,"Moderate","Inactive"))</f>
        <v>Active</v>
      </c>
      <c r="Q191" s="20"/>
    </row>
    <row r="192" spans="1:17" ht="20.100000000000001" customHeight="1">
      <c r="A192" s="39" t="s">
        <v>224</v>
      </c>
      <c r="B192" s="18" t="s">
        <v>424</v>
      </c>
      <c r="C192" s="22" t="s">
        <v>4</v>
      </c>
      <c r="D192" s="49">
        <v>19720</v>
      </c>
      <c r="E192" s="21" t="str">
        <f ca="1">TEXT(Table1[[#This Row],[Last Sale Date]],"MMM")</f>
        <v>Dec</v>
      </c>
      <c r="F192" s="27">
        <f ca="1">DATE(2025,11,10) + RANDBETWEEN(0,81)</f>
        <v>45996</v>
      </c>
      <c r="G192" s="49">
        <v>16860</v>
      </c>
      <c r="H192" s="53" t="str">
        <f>TEXT(Table1[[#This Row],[Last Payment Date]],"MMM")</f>
        <v>Nov</v>
      </c>
      <c r="I192" s="28">
        <v>45987</v>
      </c>
      <c r="J192" s="107">
        <f>D192-G192</f>
        <v>2860</v>
      </c>
      <c r="K192" s="21">
        <v>6</v>
      </c>
      <c r="L192" s="21">
        <v>4</v>
      </c>
      <c r="M192" s="34" t="str">
        <f>IF(J192&gt;3000,"Pending","Settled")</f>
        <v>Settled</v>
      </c>
      <c r="N192" s="34" t="str">
        <f>IF(J192&gt;350000,"Critical",
   IF(J192&gt;200000,"Very High",
      IF(J192&gt;100000,"High",
         IF(J192&gt;30000,"Medium","Low"))))</f>
        <v>Low</v>
      </c>
      <c r="O192" s="115">
        <f>DATE(2026,1,30) - Table1[[#This Row],[Last Payment Date]]</f>
        <v>65</v>
      </c>
      <c r="P192" s="23" t="str">
        <f>IF(Table1[[#This Row],[Days Since Last Collection]]&lt;=45,"Active", IF(Table1[[#This Row],[Days Since Last Collection]]&lt;=75,"Moderate","Inactive"))</f>
        <v>Moderate</v>
      </c>
      <c r="Q192" s="20"/>
    </row>
    <row r="193" spans="1:17" ht="20.100000000000001" customHeight="1">
      <c r="A193" s="39" t="s">
        <v>229</v>
      </c>
      <c r="B193" s="18" t="s">
        <v>425</v>
      </c>
      <c r="C193" s="22" t="s">
        <v>6</v>
      </c>
      <c r="D193" s="49">
        <v>12240</v>
      </c>
      <c r="E193" s="21" t="str">
        <f ca="1">TEXT(Table1[[#This Row],[Last Sale Date]],"MMM")</f>
        <v>Jan</v>
      </c>
      <c r="F193" s="27">
        <f ca="1">DATE(2025,11,10) + RANDBETWEEN(0,81)</f>
        <v>46049</v>
      </c>
      <c r="G193" s="49">
        <v>9860</v>
      </c>
      <c r="H193" s="53" t="str">
        <f>TEXT(Table1[[#This Row],[Last Payment Date]],"MMM")</f>
        <v>Nov</v>
      </c>
      <c r="I193" s="28">
        <v>45974</v>
      </c>
      <c r="J193" s="107">
        <f>D193-G193</f>
        <v>2380</v>
      </c>
      <c r="K193" s="21">
        <v>5</v>
      </c>
      <c r="L193" s="21">
        <v>1</v>
      </c>
      <c r="M193" s="34" t="str">
        <f>IF(J193&gt;3000,"Pending","Settled")</f>
        <v>Settled</v>
      </c>
      <c r="N193" s="34" t="str">
        <f>IF(J193&gt;350000,"Critical",
   IF(J193&gt;200000,"Very High",
      IF(J193&gt;100000,"High",
         IF(J193&gt;30000,"Medium","Low"))))</f>
        <v>Low</v>
      </c>
      <c r="O193" s="115">
        <f>DATE(2026,1,30) - Table1[[#This Row],[Last Payment Date]]</f>
        <v>78</v>
      </c>
      <c r="P193" s="23" t="str">
        <f>IF(Table1[[#This Row],[Days Since Last Collection]]&lt;=45,"Active", IF(Table1[[#This Row],[Days Since Last Collection]]&lt;=75,"Moderate","Inactive"))</f>
        <v>Inactive</v>
      </c>
      <c r="Q193" s="20"/>
    </row>
    <row r="194" spans="1:17" ht="20.100000000000001" customHeight="1">
      <c r="A194" s="39" t="s">
        <v>110</v>
      </c>
      <c r="B194" s="18" t="s">
        <v>426</v>
      </c>
      <c r="C194" s="22" t="s">
        <v>6</v>
      </c>
      <c r="D194" s="49">
        <v>2437020</v>
      </c>
      <c r="E194" s="21" t="str">
        <f ca="1">TEXT(Table1[[#This Row],[Last Sale Date]],"MMM")</f>
        <v>Dec</v>
      </c>
      <c r="F194" s="27">
        <f ca="1">DATE(2025,11,10) + RANDBETWEEN(0,81)</f>
        <v>46013</v>
      </c>
      <c r="G194" s="49">
        <v>2292770</v>
      </c>
      <c r="H194" s="53" t="str">
        <f>TEXT(Table1[[#This Row],[Last Payment Date]],"MMM")</f>
        <v>Dec</v>
      </c>
      <c r="I194" s="28">
        <v>46002</v>
      </c>
      <c r="J194" s="107">
        <f>D194-G194</f>
        <v>144250</v>
      </c>
      <c r="K194" s="21">
        <v>5</v>
      </c>
      <c r="L194" s="21">
        <v>2</v>
      </c>
      <c r="M194" s="34" t="str">
        <f>IF(J194&gt;3000,"Pending","Settled")</f>
        <v>Pending</v>
      </c>
      <c r="N194" s="34" t="str">
        <f>IF(J194&gt;350000,"Critical",
   IF(J194&gt;200000,"Very High",
      IF(J194&gt;100000,"High",
         IF(J194&gt;30000,"Medium","Low"))))</f>
        <v>High</v>
      </c>
      <c r="O194" s="115">
        <f>DATE(2026,1,30) - Table1[[#This Row],[Last Payment Date]]</f>
        <v>50</v>
      </c>
      <c r="P194" s="23" t="str">
        <f>IF(Table1[[#This Row],[Days Since Last Collection]]&lt;=45,"Active", IF(Table1[[#This Row],[Days Since Last Collection]]&lt;=75,"Moderate","Inactive"))</f>
        <v>Moderate</v>
      </c>
      <c r="Q194" s="20"/>
    </row>
    <row r="195" spans="1:17" ht="20.100000000000001" customHeight="1">
      <c r="A195" s="39" t="s">
        <v>181</v>
      </c>
      <c r="B195" s="18" t="s">
        <v>388</v>
      </c>
      <c r="C195" s="22" t="s">
        <v>7</v>
      </c>
      <c r="D195" s="49">
        <v>79700</v>
      </c>
      <c r="E195" s="21" t="str">
        <f ca="1">TEXT(Table1[[#This Row],[Last Sale Date]],"MMM")</f>
        <v>Jan</v>
      </c>
      <c r="F195" s="27">
        <f ca="1">DATE(2025,11,10) + RANDBETWEEN(0,81)</f>
        <v>46027</v>
      </c>
      <c r="G195" s="49">
        <v>60000</v>
      </c>
      <c r="H195" s="53" t="str">
        <f>TEXT(Table1[[#This Row],[Last Payment Date]],"MMM")</f>
        <v>Dec</v>
      </c>
      <c r="I195" s="28">
        <v>46012</v>
      </c>
      <c r="J195" s="107">
        <f>D195-G195</f>
        <v>19700</v>
      </c>
      <c r="K195" s="21">
        <v>2</v>
      </c>
      <c r="L195" s="21">
        <v>1</v>
      </c>
      <c r="M195" s="34" t="str">
        <f>IF(J195&gt;3000,"Pending","Settled")</f>
        <v>Pending</v>
      </c>
      <c r="N195" s="34" t="str">
        <f>IF(J195&gt;350000,"Critical",
   IF(J195&gt;200000,"Very High",
      IF(J195&gt;100000,"High",
         IF(J195&gt;30000,"Medium","Low"))))</f>
        <v>Low</v>
      </c>
      <c r="O195" s="115">
        <f>DATE(2026,1,30) - Table1[[#This Row],[Last Payment Date]]</f>
        <v>40</v>
      </c>
      <c r="P195" s="23" t="str">
        <f>IF(Table1[[#This Row],[Days Since Last Collection]]&lt;=45,"Active", IF(Table1[[#This Row],[Days Since Last Collection]]&lt;=75,"Moderate","Inactive"))</f>
        <v>Active</v>
      </c>
      <c r="Q195" s="20"/>
    </row>
    <row r="196" spans="1:17" ht="20.100000000000001" customHeight="1">
      <c r="A196" s="39" t="s">
        <v>139</v>
      </c>
      <c r="B196" s="18" t="s">
        <v>427</v>
      </c>
      <c r="C196" s="22" t="s">
        <v>11</v>
      </c>
      <c r="D196" s="49">
        <v>2352800</v>
      </c>
      <c r="E196" s="21" t="str">
        <f ca="1">TEXT(Table1[[#This Row],[Last Sale Date]],"MMM")</f>
        <v>Dec</v>
      </c>
      <c r="F196" s="27">
        <f ca="1">DATE(2025,11,10) + RANDBETWEEN(0,81)</f>
        <v>46000</v>
      </c>
      <c r="G196" s="49">
        <v>2277100</v>
      </c>
      <c r="H196" s="53" t="str">
        <f>TEXT(Table1[[#This Row],[Last Payment Date]],"MMM")</f>
        <v>Nov</v>
      </c>
      <c r="I196" s="28">
        <v>45991</v>
      </c>
      <c r="J196" s="107">
        <f>D196-G196</f>
        <v>75700</v>
      </c>
      <c r="K196" s="21">
        <v>4</v>
      </c>
      <c r="L196" s="21">
        <v>3</v>
      </c>
      <c r="M196" s="34" t="str">
        <f>IF(J196&gt;3000,"Pending","Settled")</f>
        <v>Pending</v>
      </c>
      <c r="N196" s="34" t="str">
        <f>IF(J196&gt;350000,"Critical",
   IF(J196&gt;200000,"Very High",
      IF(J196&gt;100000,"High",
         IF(J196&gt;30000,"Medium","Low"))))</f>
        <v>Medium</v>
      </c>
      <c r="O196" s="115">
        <f>DATE(2026,1,30) - Table1[[#This Row],[Last Payment Date]]</f>
        <v>61</v>
      </c>
      <c r="P196" s="23" t="str">
        <f>IF(Table1[[#This Row],[Days Since Last Collection]]&lt;=45,"Active", IF(Table1[[#This Row],[Days Since Last Collection]]&lt;=75,"Moderate","Inactive"))</f>
        <v>Moderate</v>
      </c>
      <c r="Q196" s="20"/>
    </row>
    <row r="197" spans="1:17" ht="20.100000000000001" customHeight="1">
      <c r="A197" s="39" t="s">
        <v>73</v>
      </c>
      <c r="B197" s="18" t="s">
        <v>428</v>
      </c>
      <c r="C197" s="22" t="s">
        <v>9</v>
      </c>
      <c r="D197" s="49">
        <v>1698760</v>
      </c>
      <c r="E197" s="21" t="str">
        <f ca="1">TEXT(Table1[[#This Row],[Last Sale Date]],"MMM")</f>
        <v>Dec</v>
      </c>
      <c r="F197" s="27">
        <f ca="1">DATE(2025,11,10) + RANDBETWEEN(0,81)</f>
        <v>46019</v>
      </c>
      <c r="G197" s="49">
        <v>1421160</v>
      </c>
      <c r="H197" s="53" t="str">
        <f>TEXT(Table1[[#This Row],[Last Payment Date]],"MMM")</f>
        <v>Jan</v>
      </c>
      <c r="I197" s="28">
        <v>46024</v>
      </c>
      <c r="J197" s="107">
        <f>D197-G197</f>
        <v>277600</v>
      </c>
      <c r="K197" s="21">
        <v>2</v>
      </c>
      <c r="L197" s="21">
        <v>3</v>
      </c>
      <c r="M197" s="34" t="str">
        <f>IF(J197&gt;3000,"Pending","Settled")</f>
        <v>Pending</v>
      </c>
      <c r="N197" s="34" t="str">
        <f>IF(J197&gt;350000,"Critical",
   IF(J197&gt;200000,"Very High",
      IF(J197&gt;100000,"High",
         IF(J197&gt;30000,"Medium","Low"))))</f>
        <v>Very High</v>
      </c>
      <c r="O197" s="115">
        <f>DATE(2026,1,30) - Table1[[#This Row],[Last Payment Date]]</f>
        <v>28</v>
      </c>
      <c r="P197" s="23" t="str">
        <f>IF(Table1[[#This Row],[Days Since Last Collection]]&lt;=45,"Active", IF(Table1[[#This Row],[Days Since Last Collection]]&lt;=75,"Moderate","Inactive"))</f>
        <v>Active</v>
      </c>
      <c r="Q197" s="20"/>
    </row>
    <row r="198" spans="1:17" ht="20.100000000000001" customHeight="1">
      <c r="A198" s="39" t="s">
        <v>42</v>
      </c>
      <c r="B198" s="18" t="s">
        <v>254</v>
      </c>
      <c r="C198" s="22" t="s">
        <v>4</v>
      </c>
      <c r="D198" s="49">
        <v>2042170</v>
      </c>
      <c r="E198" s="21" t="str">
        <f ca="1">TEXT(Table1[[#This Row],[Last Sale Date]],"MMM")</f>
        <v>Dec</v>
      </c>
      <c r="F198" s="27">
        <f ca="1">DATE(2025,11,10) + RANDBETWEEN(0,81)</f>
        <v>46013</v>
      </c>
      <c r="G198" s="49">
        <v>1587080</v>
      </c>
      <c r="H198" s="53" t="str">
        <f>TEXT(Table1[[#This Row],[Last Payment Date]],"MMM")</f>
        <v>Jan</v>
      </c>
      <c r="I198" s="28">
        <v>46049</v>
      </c>
      <c r="J198" s="107">
        <f>D198-G198</f>
        <v>455090</v>
      </c>
      <c r="K198" s="21">
        <v>3</v>
      </c>
      <c r="L198" s="21">
        <v>4</v>
      </c>
      <c r="M198" s="34" t="str">
        <f>IF(J198&gt;3000,"Pending","Settled")</f>
        <v>Pending</v>
      </c>
      <c r="N198" s="34" t="str">
        <f>IF(J198&gt;350000,"Critical",
   IF(J198&gt;200000,"Very High",
      IF(J198&gt;100000,"High",
         IF(J198&gt;30000,"Medium","Low"))))</f>
        <v>Critical</v>
      </c>
      <c r="O198" s="115">
        <f>DATE(2026,1,30) - Table1[[#This Row],[Last Payment Date]]</f>
        <v>3</v>
      </c>
      <c r="P198" s="23" t="str">
        <f>IF(Table1[[#This Row],[Days Since Last Collection]]&lt;=45,"Active", IF(Table1[[#This Row],[Days Since Last Collection]]&lt;=75,"Moderate","Inactive"))</f>
        <v>Active</v>
      </c>
      <c r="Q198" s="20"/>
    </row>
    <row r="199" spans="1:17" ht="20.100000000000001" customHeight="1">
      <c r="A199" s="39" t="s">
        <v>91</v>
      </c>
      <c r="B199" s="18" t="s">
        <v>429</v>
      </c>
      <c r="C199" s="22" t="s">
        <v>9</v>
      </c>
      <c r="D199" s="49">
        <v>1232910</v>
      </c>
      <c r="E199" s="21" t="str">
        <f ca="1">TEXT(Table1[[#This Row],[Last Sale Date]],"MMM")</f>
        <v>Dec</v>
      </c>
      <c r="F199" s="27">
        <f ca="1">DATE(2025,11,10) + RANDBETWEEN(0,81)</f>
        <v>46019</v>
      </c>
      <c r="G199" s="49">
        <v>1031230</v>
      </c>
      <c r="H199" s="53" t="str">
        <f>TEXT(Table1[[#This Row],[Last Payment Date]],"MMM")</f>
        <v>Jan</v>
      </c>
      <c r="I199" s="28">
        <v>46024</v>
      </c>
      <c r="J199" s="107">
        <f>D199-G199</f>
        <v>201680</v>
      </c>
      <c r="K199" s="21">
        <v>6</v>
      </c>
      <c r="L199" s="21">
        <v>4</v>
      </c>
      <c r="M199" s="34" t="str">
        <f>IF(J199&gt;3000,"Pending","Settled")</f>
        <v>Pending</v>
      </c>
      <c r="N199" s="34" t="str">
        <f>IF(J199&gt;350000,"Critical",
   IF(J199&gt;200000,"Very High",
      IF(J199&gt;100000,"High",
         IF(J199&gt;30000,"Medium","Low"))))</f>
        <v>Very High</v>
      </c>
      <c r="O199" s="115">
        <f>DATE(2026,1,30) - Table1[[#This Row],[Last Payment Date]]</f>
        <v>28</v>
      </c>
      <c r="P199" s="23" t="str">
        <f>IF(Table1[[#This Row],[Days Since Last Collection]]&lt;=45,"Active", IF(Table1[[#This Row],[Days Since Last Collection]]&lt;=75,"Moderate","Inactive"))</f>
        <v>Active</v>
      </c>
      <c r="Q199" s="20"/>
    </row>
    <row r="200" spans="1:17" ht="20.100000000000001" customHeight="1">
      <c r="A200" s="39" t="s">
        <v>215</v>
      </c>
      <c r="B200" s="18" t="s">
        <v>312</v>
      </c>
      <c r="C200" s="22" t="s">
        <v>11</v>
      </c>
      <c r="D200" s="49">
        <v>20220</v>
      </c>
      <c r="E200" s="21" t="str">
        <f ca="1">TEXT(Table1[[#This Row],[Last Sale Date]],"MMM")</f>
        <v>Jan</v>
      </c>
      <c r="F200" s="27">
        <f ca="1">DATE(2025,11,10) + RANDBETWEEN(0,81)</f>
        <v>46044</v>
      </c>
      <c r="G200" s="49">
        <v>16750</v>
      </c>
      <c r="H200" s="53" t="str">
        <f>TEXT(Table1[[#This Row],[Last Payment Date]],"MMM")</f>
        <v>Dec</v>
      </c>
      <c r="I200" s="28">
        <v>46022</v>
      </c>
      <c r="J200" s="107">
        <f>D200-G200</f>
        <v>3470</v>
      </c>
      <c r="K200" s="21">
        <v>4</v>
      </c>
      <c r="L200" s="21">
        <v>2</v>
      </c>
      <c r="M200" s="34" t="str">
        <f>IF(J200&gt;3000,"Pending","Settled")</f>
        <v>Pending</v>
      </c>
      <c r="N200" s="34" t="str">
        <f>IF(J200&gt;350000,"Critical",
   IF(J200&gt;200000,"Very High",
      IF(J200&gt;100000,"High",
         IF(J200&gt;30000,"Medium","Low"))))</f>
        <v>Low</v>
      </c>
      <c r="O200" s="115">
        <f>DATE(2026,1,30) - Table1[[#This Row],[Last Payment Date]]</f>
        <v>30</v>
      </c>
      <c r="P200" s="23" t="str">
        <f>IF(Table1[[#This Row],[Days Since Last Collection]]&lt;=45,"Active", IF(Table1[[#This Row],[Days Since Last Collection]]&lt;=75,"Moderate","Inactive"))</f>
        <v>Active</v>
      </c>
      <c r="Q200" s="20"/>
    </row>
    <row r="201" spans="1:17" ht="20.100000000000001" customHeight="1">
      <c r="A201" s="40" t="s">
        <v>151</v>
      </c>
      <c r="B201" s="19" t="s">
        <v>325</v>
      </c>
      <c r="C201" s="19" t="s">
        <v>7</v>
      </c>
      <c r="D201" s="50">
        <v>78790</v>
      </c>
      <c r="E201" s="23" t="str">
        <f ca="1">TEXT(Table1[[#This Row],[Last Sale Date]],"MMM")</f>
        <v>Jan</v>
      </c>
      <c r="F201" s="27">
        <f ca="1">DATE(2025,11,10) + RANDBETWEEN(0,81)</f>
        <v>46038</v>
      </c>
      <c r="G201" s="50">
        <v>24000</v>
      </c>
      <c r="H201" s="50" t="str">
        <f>TEXT(Table1[[#This Row],[Last Payment Date]],"MMM")</f>
        <v>Dec</v>
      </c>
      <c r="I201" s="30">
        <v>45995</v>
      </c>
      <c r="J201" s="50">
        <f>D201-G201</f>
        <v>54790</v>
      </c>
      <c r="K201" s="23">
        <v>2</v>
      </c>
      <c r="L201" s="23">
        <v>1</v>
      </c>
      <c r="M201" s="34" t="str">
        <f>IF(J201&gt;3000,"Pending","Settled")</f>
        <v>Pending</v>
      </c>
      <c r="N201" s="34" t="str">
        <f>IF(J201&gt;350000,"Critical",
   IF(J201&gt;200000,"Very High",
      IF(J201&gt;100000,"High",
         IF(J201&gt;30000,"Medium","Low"))))</f>
        <v>Medium</v>
      </c>
      <c r="O201" s="115">
        <f>DATE(2026,1,30) - Table1[[#This Row],[Last Payment Date]]</f>
        <v>57</v>
      </c>
      <c r="P201" s="23" t="str">
        <f>IF(Table1[[#This Row],[Days Since Last Collection]]&lt;=45,"Active", IF(Table1[[#This Row],[Days Since Last Collection]]&lt;=75,"Moderate","Inactive"))</f>
        <v>Moderate</v>
      </c>
      <c r="Q201" s="20"/>
    </row>
    <row r="202" spans="1:17" ht="19.899999999999999" customHeight="1">
      <c r="M202" s="34"/>
      <c r="N202" s="34"/>
      <c r="O202" s="116"/>
      <c r="P202" s="34"/>
    </row>
    <row r="203" spans="1:17" ht="19.899999999999999" customHeight="1">
      <c r="M203" s="34"/>
      <c r="N203" s="34"/>
      <c r="O203" s="116"/>
      <c r="P203" s="34"/>
    </row>
    <row r="204" spans="1:17" ht="19.899999999999999" customHeight="1">
      <c r="M204" s="34"/>
      <c r="N204" s="34"/>
      <c r="O204" s="116"/>
      <c r="P204" s="34"/>
    </row>
    <row r="205" spans="1:17" ht="19.899999999999999" customHeight="1">
      <c r="M205" s="34"/>
      <c r="N205" s="34"/>
      <c r="O205" s="116"/>
      <c r="P205" s="34"/>
    </row>
    <row r="206" spans="1:17" ht="19.899999999999999" customHeight="1">
      <c r="M206" s="34"/>
      <c r="N206" s="34"/>
      <c r="O206" s="116"/>
      <c r="P206" s="34"/>
    </row>
  </sheetData>
  <sortState xmlns:xlrd2="http://schemas.microsoft.com/office/spreadsheetml/2017/richdata2" ref="A2:L201">
    <sortCondition ref="C2:C201"/>
  </sortState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0D28-50B0-4F65-BBDE-20AE0EEF8854}">
  <dimension ref="A1:H206"/>
  <sheetViews>
    <sheetView workbookViewId="0">
      <selection activeCell="M7" sqref="M7"/>
    </sheetView>
  </sheetViews>
  <sheetFormatPr defaultRowHeight="12.75"/>
  <cols>
    <col min="4" max="4" width="9.140625" style="104"/>
  </cols>
  <sheetData>
    <row r="1" spans="1:8" ht="35.25">
      <c r="A1" s="44" t="s">
        <v>430</v>
      </c>
      <c r="B1" s="44" t="s">
        <v>243</v>
      </c>
      <c r="C1" s="44" t="s">
        <v>0</v>
      </c>
      <c r="D1" s="102" t="s">
        <v>245</v>
      </c>
      <c r="E1" s="44" t="s">
        <v>244</v>
      </c>
      <c r="F1" s="44" t="s">
        <v>246</v>
      </c>
      <c r="G1" s="16" t="s">
        <v>249</v>
      </c>
      <c r="H1" s="44" t="s">
        <v>431</v>
      </c>
    </row>
    <row r="2" spans="1:8" ht="35.25">
      <c r="A2" s="45" t="s">
        <v>432</v>
      </c>
      <c r="B2" s="46" t="s">
        <v>433</v>
      </c>
      <c r="C2" s="46" t="s">
        <v>5</v>
      </c>
      <c r="D2" s="103">
        <v>46042</v>
      </c>
      <c r="E2" s="46">
        <v>3587000</v>
      </c>
      <c r="F2" s="46">
        <v>2800000</v>
      </c>
      <c r="G2" s="29">
        <v>787000</v>
      </c>
      <c r="H2" s="46">
        <v>3</v>
      </c>
    </row>
    <row r="3" spans="1:8" ht="35.25">
      <c r="A3" s="45" t="s">
        <v>434</v>
      </c>
      <c r="B3" s="46" t="s">
        <v>301</v>
      </c>
      <c r="C3" s="46" t="s">
        <v>12</v>
      </c>
      <c r="D3" s="103">
        <v>46012</v>
      </c>
      <c r="E3" s="46">
        <v>2469070</v>
      </c>
      <c r="F3" s="46">
        <v>2364000</v>
      </c>
      <c r="G3" s="29">
        <v>105070</v>
      </c>
      <c r="H3" s="46">
        <v>6</v>
      </c>
    </row>
    <row r="4" spans="1:8" ht="35.25">
      <c r="A4" s="45" t="s">
        <v>435</v>
      </c>
      <c r="B4" s="46" t="s">
        <v>433</v>
      </c>
      <c r="C4" s="46" t="s">
        <v>11</v>
      </c>
      <c r="D4" s="103">
        <v>45975</v>
      </c>
      <c r="E4" s="46">
        <v>2465580</v>
      </c>
      <c r="F4" s="46">
        <v>2037210</v>
      </c>
      <c r="G4" s="29">
        <v>428370</v>
      </c>
      <c r="H4" s="46">
        <v>0</v>
      </c>
    </row>
    <row r="5" spans="1:8" ht="35.25">
      <c r="A5" s="45" t="s">
        <v>436</v>
      </c>
      <c r="B5" s="46" t="s">
        <v>259</v>
      </c>
      <c r="C5" s="46" t="s">
        <v>5</v>
      </c>
      <c r="D5" s="103">
        <v>46045</v>
      </c>
      <c r="E5" s="46">
        <v>2464670</v>
      </c>
      <c r="F5" s="46">
        <v>2393830</v>
      </c>
      <c r="G5" s="29">
        <v>70840</v>
      </c>
      <c r="H5" s="46">
        <v>7</v>
      </c>
    </row>
    <row r="6" spans="1:8" ht="35.25">
      <c r="A6" s="45" t="s">
        <v>437</v>
      </c>
      <c r="B6" s="46" t="s">
        <v>400</v>
      </c>
      <c r="C6" s="46" t="s">
        <v>9</v>
      </c>
      <c r="D6" s="103">
        <v>46112</v>
      </c>
      <c r="E6" s="46">
        <v>2445780</v>
      </c>
      <c r="F6" s="46">
        <v>2328320</v>
      </c>
      <c r="G6" s="29">
        <v>117460</v>
      </c>
      <c r="H6" s="46">
        <v>6</v>
      </c>
    </row>
    <row r="7" spans="1:8" ht="35.25">
      <c r="A7" s="45" t="s">
        <v>438</v>
      </c>
      <c r="B7" s="46" t="s">
        <v>400</v>
      </c>
      <c r="C7" s="46" t="s">
        <v>6</v>
      </c>
      <c r="D7" s="103">
        <v>46076</v>
      </c>
      <c r="E7" s="46">
        <v>2440560</v>
      </c>
      <c r="F7" s="46">
        <v>2202140</v>
      </c>
      <c r="G7" s="29">
        <v>238420</v>
      </c>
      <c r="H7" s="46">
        <v>1</v>
      </c>
    </row>
    <row r="8" spans="1:8" ht="35.25">
      <c r="A8" s="45" t="s">
        <v>439</v>
      </c>
      <c r="B8" s="46" t="s">
        <v>440</v>
      </c>
      <c r="C8" s="46" t="s">
        <v>6</v>
      </c>
      <c r="D8" s="103">
        <v>46085</v>
      </c>
      <c r="E8" s="46">
        <v>2437020</v>
      </c>
      <c r="F8" s="46">
        <v>2292770</v>
      </c>
      <c r="G8" s="29">
        <v>144250</v>
      </c>
      <c r="H8" s="46">
        <v>5</v>
      </c>
    </row>
    <row r="9" spans="1:8" ht="35.25">
      <c r="A9" s="45" t="s">
        <v>441</v>
      </c>
      <c r="B9" s="46" t="s">
        <v>400</v>
      </c>
      <c r="C9" s="46" t="s">
        <v>4</v>
      </c>
      <c r="D9" s="103">
        <v>46011</v>
      </c>
      <c r="E9" s="46">
        <v>2396700</v>
      </c>
      <c r="F9" s="46">
        <v>2106110</v>
      </c>
      <c r="G9" s="29">
        <v>290590</v>
      </c>
      <c r="H9" s="46">
        <v>1</v>
      </c>
    </row>
    <row r="10" spans="1:8" ht="35.25">
      <c r="A10" s="45" t="s">
        <v>442</v>
      </c>
      <c r="B10" s="46" t="s">
        <v>301</v>
      </c>
      <c r="C10" s="46" t="s">
        <v>9</v>
      </c>
      <c r="D10" s="103">
        <v>46113</v>
      </c>
      <c r="E10" s="46">
        <v>2390040</v>
      </c>
      <c r="F10" s="46">
        <v>2168980</v>
      </c>
      <c r="G10" s="29">
        <v>221060</v>
      </c>
      <c r="H10" s="46">
        <v>5</v>
      </c>
    </row>
    <row r="11" spans="1:8" ht="35.25">
      <c r="A11" s="45" t="s">
        <v>443</v>
      </c>
      <c r="B11" s="46" t="s">
        <v>259</v>
      </c>
      <c r="C11" s="46" t="s">
        <v>5</v>
      </c>
      <c r="D11" s="103">
        <v>46027</v>
      </c>
      <c r="E11" s="46">
        <v>2355770</v>
      </c>
      <c r="F11" s="46">
        <v>2201120</v>
      </c>
      <c r="G11" s="29">
        <v>154650</v>
      </c>
      <c r="H11" s="46">
        <v>3</v>
      </c>
    </row>
    <row r="12" spans="1:8" ht="35.25">
      <c r="A12" s="45" t="s">
        <v>444</v>
      </c>
      <c r="B12" s="46" t="s">
        <v>301</v>
      </c>
      <c r="C12" s="46" t="s">
        <v>11</v>
      </c>
      <c r="D12" s="103">
        <v>46033</v>
      </c>
      <c r="E12" s="46">
        <v>2352800</v>
      </c>
      <c r="F12" s="46">
        <v>2277100</v>
      </c>
      <c r="G12" s="29">
        <v>75700</v>
      </c>
      <c r="H12" s="46">
        <v>4</v>
      </c>
    </row>
    <row r="13" spans="1:8" ht="35.25">
      <c r="A13" s="45" t="s">
        <v>445</v>
      </c>
      <c r="B13" s="46" t="s">
        <v>265</v>
      </c>
      <c r="C13" s="46" t="s">
        <v>4</v>
      </c>
      <c r="D13" s="103">
        <v>45983</v>
      </c>
      <c r="E13" s="46">
        <v>2337540</v>
      </c>
      <c r="F13" s="46">
        <v>2018910</v>
      </c>
      <c r="G13" s="29">
        <v>318630</v>
      </c>
      <c r="H13" s="46">
        <v>3</v>
      </c>
    </row>
    <row r="14" spans="1:8" ht="35.25">
      <c r="A14" s="45" t="s">
        <v>446</v>
      </c>
      <c r="B14" s="46" t="s">
        <v>301</v>
      </c>
      <c r="C14" s="46" t="s">
        <v>8</v>
      </c>
      <c r="D14" s="103">
        <v>46096</v>
      </c>
      <c r="E14" s="46">
        <v>2335000</v>
      </c>
      <c r="F14" s="46">
        <v>2100630</v>
      </c>
      <c r="G14" s="29">
        <v>234370</v>
      </c>
      <c r="H14" s="46">
        <v>2</v>
      </c>
    </row>
    <row r="15" spans="1:8" ht="35.25">
      <c r="A15" s="45" t="s">
        <v>447</v>
      </c>
      <c r="B15" s="46" t="s">
        <v>440</v>
      </c>
      <c r="C15" s="46" t="s">
        <v>4</v>
      </c>
      <c r="D15" s="103">
        <v>46020</v>
      </c>
      <c r="E15" s="46">
        <v>2329060</v>
      </c>
      <c r="F15" s="46">
        <v>2233130</v>
      </c>
      <c r="G15" s="29">
        <v>95930</v>
      </c>
      <c r="H15" s="46">
        <v>0</v>
      </c>
    </row>
    <row r="16" spans="1:8" ht="58.5">
      <c r="A16" s="45" t="s">
        <v>448</v>
      </c>
      <c r="B16" s="46" t="s">
        <v>433</v>
      </c>
      <c r="C16" s="46" t="s">
        <v>7</v>
      </c>
      <c r="D16" s="103">
        <v>45987</v>
      </c>
      <c r="E16" s="46">
        <v>2326920</v>
      </c>
      <c r="F16" s="46">
        <v>2171320</v>
      </c>
      <c r="G16" s="29">
        <v>155600</v>
      </c>
      <c r="H16" s="46">
        <v>1</v>
      </c>
    </row>
    <row r="17" spans="1:8" ht="58.5">
      <c r="A17" s="45" t="s">
        <v>449</v>
      </c>
      <c r="B17" s="46" t="s">
        <v>372</v>
      </c>
      <c r="C17" s="46" t="s">
        <v>4</v>
      </c>
      <c r="D17" s="103">
        <v>46008</v>
      </c>
      <c r="E17" s="46">
        <v>2300880</v>
      </c>
      <c r="F17" s="46">
        <v>1970530</v>
      </c>
      <c r="G17" s="29">
        <v>330350</v>
      </c>
      <c r="H17" s="46">
        <v>7</v>
      </c>
    </row>
    <row r="18" spans="1:8" ht="35.25">
      <c r="A18" s="45" t="s">
        <v>450</v>
      </c>
      <c r="B18" s="46" t="s">
        <v>451</v>
      </c>
      <c r="C18" s="46" t="s">
        <v>8</v>
      </c>
      <c r="D18" s="103">
        <v>46090</v>
      </c>
      <c r="E18" s="46">
        <v>2288580</v>
      </c>
      <c r="F18" s="46">
        <v>1863300</v>
      </c>
      <c r="G18" s="29">
        <v>425280</v>
      </c>
      <c r="H18" s="46">
        <v>3</v>
      </c>
    </row>
    <row r="19" spans="1:8" ht="35.25">
      <c r="A19" s="45" t="s">
        <v>452</v>
      </c>
      <c r="B19" s="46" t="s">
        <v>453</v>
      </c>
      <c r="C19" s="46" t="s">
        <v>4</v>
      </c>
      <c r="D19" s="103">
        <v>46025</v>
      </c>
      <c r="E19" s="46">
        <v>2284700</v>
      </c>
      <c r="F19" s="46">
        <v>2066100</v>
      </c>
      <c r="G19" s="29">
        <v>218600</v>
      </c>
      <c r="H19" s="46">
        <v>5</v>
      </c>
    </row>
    <row r="20" spans="1:8" ht="58.5">
      <c r="A20" s="45" t="s">
        <v>454</v>
      </c>
      <c r="B20" s="46" t="s">
        <v>419</v>
      </c>
      <c r="C20" s="46" t="s">
        <v>4</v>
      </c>
      <c r="D20" s="103">
        <v>45988</v>
      </c>
      <c r="E20" s="46">
        <v>2273980</v>
      </c>
      <c r="F20" s="46">
        <v>2122050</v>
      </c>
      <c r="G20" s="29">
        <v>151930</v>
      </c>
      <c r="H20" s="46">
        <v>0</v>
      </c>
    </row>
    <row r="21" spans="1:8" ht="35.25">
      <c r="A21" s="45" t="s">
        <v>455</v>
      </c>
      <c r="B21" s="46" t="s">
        <v>419</v>
      </c>
      <c r="C21" s="46" t="s">
        <v>7</v>
      </c>
      <c r="D21" s="103">
        <v>45973</v>
      </c>
      <c r="E21" s="46">
        <v>2260900</v>
      </c>
      <c r="F21" s="46">
        <v>2069930</v>
      </c>
      <c r="G21" s="29">
        <v>190970</v>
      </c>
      <c r="H21" s="46">
        <v>6</v>
      </c>
    </row>
    <row r="22" spans="1:8" ht="35.25">
      <c r="A22" s="45" t="s">
        <v>456</v>
      </c>
      <c r="B22" s="46" t="s">
        <v>301</v>
      </c>
      <c r="C22" s="46" t="s">
        <v>12</v>
      </c>
      <c r="D22" s="103">
        <v>46017</v>
      </c>
      <c r="E22" s="46">
        <v>2255980</v>
      </c>
      <c r="F22" s="46">
        <v>2080460</v>
      </c>
      <c r="G22" s="29">
        <v>175520</v>
      </c>
      <c r="H22" s="46">
        <v>7</v>
      </c>
    </row>
    <row r="23" spans="1:8" ht="35.25">
      <c r="A23" s="45" t="s">
        <v>457</v>
      </c>
      <c r="B23" s="46" t="s">
        <v>400</v>
      </c>
      <c r="C23" s="46" t="s">
        <v>7</v>
      </c>
      <c r="D23" s="103">
        <v>45990</v>
      </c>
      <c r="E23" s="46">
        <v>2229100</v>
      </c>
      <c r="F23" s="46">
        <v>1960200</v>
      </c>
      <c r="G23" s="29">
        <v>268900</v>
      </c>
      <c r="H23" s="46">
        <v>1</v>
      </c>
    </row>
    <row r="24" spans="1:8" ht="35.25">
      <c r="A24" s="45" t="s">
        <v>458</v>
      </c>
      <c r="B24" s="46" t="s">
        <v>400</v>
      </c>
      <c r="C24" s="46" t="s">
        <v>4</v>
      </c>
      <c r="D24" s="103">
        <v>46029</v>
      </c>
      <c r="E24" s="46">
        <v>2222440</v>
      </c>
      <c r="F24" s="46">
        <v>1716290</v>
      </c>
      <c r="G24" s="29">
        <v>506150</v>
      </c>
      <c r="H24" s="46">
        <v>4</v>
      </c>
    </row>
    <row r="25" spans="1:8" ht="35.25">
      <c r="A25" s="45" t="s">
        <v>459</v>
      </c>
      <c r="B25" s="46" t="s">
        <v>419</v>
      </c>
      <c r="C25" s="46" t="s">
        <v>11</v>
      </c>
      <c r="D25" s="103">
        <v>46031</v>
      </c>
      <c r="E25" s="46">
        <v>2218020</v>
      </c>
      <c r="F25" s="46">
        <v>2002780</v>
      </c>
      <c r="G25" s="29">
        <v>215240</v>
      </c>
      <c r="H25" s="46">
        <v>2</v>
      </c>
    </row>
    <row r="26" spans="1:8" ht="35.25">
      <c r="A26" s="45" t="s">
        <v>460</v>
      </c>
      <c r="B26" s="46" t="s">
        <v>301</v>
      </c>
      <c r="C26" s="46" t="s">
        <v>6</v>
      </c>
      <c r="D26" s="103">
        <v>46060</v>
      </c>
      <c r="E26" s="46">
        <v>2206270</v>
      </c>
      <c r="F26" s="46">
        <v>1917270</v>
      </c>
      <c r="G26" s="29">
        <v>289000</v>
      </c>
      <c r="H26" s="46">
        <v>3</v>
      </c>
    </row>
    <row r="27" spans="1:8" ht="35.25">
      <c r="A27" s="45" t="s">
        <v>461</v>
      </c>
      <c r="B27" s="46" t="s">
        <v>265</v>
      </c>
      <c r="C27" s="46" t="s">
        <v>4</v>
      </c>
      <c r="D27" s="103">
        <v>45991</v>
      </c>
      <c r="E27" s="46">
        <v>2196560</v>
      </c>
      <c r="F27" s="46">
        <v>2047430</v>
      </c>
      <c r="G27" s="29">
        <v>149130</v>
      </c>
      <c r="H27" s="46">
        <v>5</v>
      </c>
    </row>
    <row r="28" spans="1:8" ht="35.25">
      <c r="A28" s="45" t="s">
        <v>462</v>
      </c>
      <c r="B28" s="46" t="s">
        <v>433</v>
      </c>
      <c r="C28" s="46" t="s">
        <v>4</v>
      </c>
      <c r="D28" s="103">
        <v>46030</v>
      </c>
      <c r="E28" s="46">
        <v>2189790</v>
      </c>
      <c r="F28" s="46">
        <v>2045680</v>
      </c>
      <c r="G28" s="29">
        <v>144110</v>
      </c>
      <c r="H28" s="46">
        <v>4</v>
      </c>
    </row>
    <row r="29" spans="1:8" ht="58.5">
      <c r="A29" s="45" t="s">
        <v>463</v>
      </c>
      <c r="B29" s="46" t="s">
        <v>433</v>
      </c>
      <c r="C29" s="46" t="s">
        <v>4</v>
      </c>
      <c r="D29" s="103">
        <v>46032</v>
      </c>
      <c r="E29" s="46">
        <v>2184630</v>
      </c>
      <c r="F29" s="46">
        <v>2121610</v>
      </c>
      <c r="G29" s="29">
        <v>63020</v>
      </c>
      <c r="H29" s="46">
        <v>7</v>
      </c>
    </row>
    <row r="30" spans="1:8" ht="35.25">
      <c r="A30" s="45" t="s">
        <v>464</v>
      </c>
      <c r="B30" s="46" t="s">
        <v>453</v>
      </c>
      <c r="C30" s="46" t="s">
        <v>7</v>
      </c>
      <c r="D30" s="103">
        <v>46032</v>
      </c>
      <c r="E30" s="46">
        <v>2176480</v>
      </c>
      <c r="F30" s="46">
        <v>2008520</v>
      </c>
      <c r="G30" s="29">
        <v>167960</v>
      </c>
      <c r="H30" s="46">
        <v>7</v>
      </c>
    </row>
    <row r="31" spans="1:8" ht="35.25">
      <c r="A31" s="45" t="s">
        <v>465</v>
      </c>
      <c r="B31" s="46" t="s">
        <v>419</v>
      </c>
      <c r="C31" s="46" t="s">
        <v>4</v>
      </c>
      <c r="D31" s="103">
        <v>46036</v>
      </c>
      <c r="E31" s="46">
        <v>2172060</v>
      </c>
      <c r="F31" s="46">
        <v>2114160</v>
      </c>
      <c r="G31" s="29">
        <v>57900</v>
      </c>
      <c r="H31" s="46">
        <v>3</v>
      </c>
    </row>
    <row r="32" spans="1:8" ht="35.25">
      <c r="A32" s="45" t="s">
        <v>466</v>
      </c>
      <c r="B32" s="46" t="s">
        <v>440</v>
      </c>
      <c r="C32" s="46" t="s">
        <v>9</v>
      </c>
      <c r="D32" s="103">
        <v>46114</v>
      </c>
      <c r="E32" s="46">
        <v>2169330</v>
      </c>
      <c r="F32" s="46">
        <v>1634030</v>
      </c>
      <c r="G32" s="29">
        <v>535300</v>
      </c>
      <c r="H32" s="46">
        <v>7</v>
      </c>
    </row>
    <row r="33" spans="1:8" ht="35.25">
      <c r="A33" s="45" t="s">
        <v>467</v>
      </c>
      <c r="B33" s="46" t="s">
        <v>259</v>
      </c>
      <c r="C33" s="46" t="s">
        <v>5</v>
      </c>
      <c r="D33" s="103">
        <v>46034</v>
      </c>
      <c r="E33" s="46">
        <v>2167440</v>
      </c>
      <c r="F33" s="46">
        <v>2029130</v>
      </c>
      <c r="G33" s="29">
        <v>138310</v>
      </c>
      <c r="H33" s="46">
        <v>0</v>
      </c>
    </row>
    <row r="34" spans="1:8" ht="35.25">
      <c r="A34" s="45" t="s">
        <v>468</v>
      </c>
      <c r="B34" s="46" t="s">
        <v>453</v>
      </c>
      <c r="C34" s="46" t="s">
        <v>7</v>
      </c>
      <c r="D34" s="103">
        <v>46011</v>
      </c>
      <c r="E34" s="46">
        <v>2150930</v>
      </c>
      <c r="F34" s="46">
        <v>1990920</v>
      </c>
      <c r="G34" s="29">
        <v>160010</v>
      </c>
      <c r="H34" s="46">
        <v>1</v>
      </c>
    </row>
    <row r="35" spans="1:8" ht="35.25">
      <c r="A35" s="45" t="s">
        <v>469</v>
      </c>
      <c r="B35" s="46" t="s">
        <v>259</v>
      </c>
      <c r="C35" s="46" t="s">
        <v>4</v>
      </c>
      <c r="D35" s="103">
        <v>46041</v>
      </c>
      <c r="E35" s="46">
        <v>2144640</v>
      </c>
      <c r="F35" s="46">
        <v>1899680</v>
      </c>
      <c r="G35" s="29">
        <v>244960</v>
      </c>
      <c r="H35" s="46">
        <v>5</v>
      </c>
    </row>
    <row r="36" spans="1:8" ht="35.25">
      <c r="A36" s="45" t="s">
        <v>470</v>
      </c>
      <c r="B36" s="46" t="s">
        <v>453</v>
      </c>
      <c r="C36" s="46" t="s">
        <v>5</v>
      </c>
      <c r="D36" s="103">
        <v>46054</v>
      </c>
      <c r="E36" s="46">
        <v>2134090</v>
      </c>
      <c r="F36" s="46">
        <v>1971390</v>
      </c>
      <c r="G36" s="29">
        <v>162700</v>
      </c>
      <c r="H36" s="46">
        <v>7</v>
      </c>
    </row>
    <row r="37" spans="1:8" ht="58.5">
      <c r="A37" s="45" t="s">
        <v>471</v>
      </c>
      <c r="B37" s="46" t="s">
        <v>453</v>
      </c>
      <c r="C37" s="46" t="s">
        <v>11</v>
      </c>
      <c r="D37" s="103">
        <v>46037</v>
      </c>
      <c r="E37" s="46">
        <v>2117130</v>
      </c>
      <c r="F37" s="46">
        <v>2020960</v>
      </c>
      <c r="G37" s="29">
        <v>96170</v>
      </c>
      <c r="H37" s="46">
        <v>7</v>
      </c>
    </row>
    <row r="38" spans="1:8" ht="35.25">
      <c r="A38" s="45" t="s">
        <v>472</v>
      </c>
      <c r="B38" s="46" t="s">
        <v>259</v>
      </c>
      <c r="C38" s="46" t="s">
        <v>4</v>
      </c>
      <c r="D38" s="103">
        <v>46004</v>
      </c>
      <c r="E38" s="46">
        <v>2116520</v>
      </c>
      <c r="F38" s="46">
        <v>1731840</v>
      </c>
      <c r="G38" s="29">
        <v>384680</v>
      </c>
      <c r="H38" s="46">
        <v>6</v>
      </c>
    </row>
    <row r="39" spans="1:8" ht="35.25">
      <c r="A39" s="45" t="s">
        <v>473</v>
      </c>
      <c r="B39" s="46" t="s">
        <v>440</v>
      </c>
      <c r="C39" s="46" t="s">
        <v>9</v>
      </c>
      <c r="D39" s="103">
        <v>46109</v>
      </c>
      <c r="E39" s="46">
        <v>2100470</v>
      </c>
      <c r="F39" s="46">
        <v>1951520</v>
      </c>
      <c r="G39" s="29">
        <v>148950</v>
      </c>
      <c r="H39" s="46">
        <v>1</v>
      </c>
    </row>
    <row r="40" spans="1:8" ht="35.25">
      <c r="A40" s="45" t="s">
        <v>474</v>
      </c>
      <c r="B40" s="46" t="s">
        <v>440</v>
      </c>
      <c r="C40" s="46" t="s">
        <v>5</v>
      </c>
      <c r="D40" s="103">
        <v>46028</v>
      </c>
      <c r="E40" s="46">
        <v>2079500</v>
      </c>
      <c r="F40" s="46">
        <v>1759220</v>
      </c>
      <c r="G40" s="29">
        <v>320280</v>
      </c>
      <c r="H40" s="46">
        <v>1</v>
      </c>
    </row>
    <row r="41" spans="1:8" ht="58.5">
      <c r="A41" s="45" t="s">
        <v>475</v>
      </c>
      <c r="B41" s="46" t="s">
        <v>259</v>
      </c>
      <c r="C41" s="46" t="s">
        <v>12</v>
      </c>
      <c r="D41" s="103">
        <v>46010</v>
      </c>
      <c r="E41" s="46">
        <v>2072050</v>
      </c>
      <c r="F41" s="46">
        <v>1929290</v>
      </c>
      <c r="G41" s="29">
        <v>142760</v>
      </c>
      <c r="H41" s="46">
        <v>6</v>
      </c>
    </row>
    <row r="42" spans="1:8" ht="35.25">
      <c r="A42" s="45" t="s">
        <v>476</v>
      </c>
      <c r="B42" s="46" t="s">
        <v>400</v>
      </c>
      <c r="C42" s="46" t="s">
        <v>4</v>
      </c>
      <c r="D42" s="103">
        <v>46038</v>
      </c>
      <c r="E42" s="46">
        <v>2042170</v>
      </c>
      <c r="F42" s="46">
        <v>1587080</v>
      </c>
      <c r="G42" s="29">
        <v>455090</v>
      </c>
      <c r="H42" s="46">
        <v>7</v>
      </c>
    </row>
    <row r="43" spans="1:8" ht="35.25">
      <c r="A43" s="45" t="s">
        <v>477</v>
      </c>
      <c r="B43" s="46" t="s">
        <v>301</v>
      </c>
      <c r="C43" s="46" t="s">
        <v>6</v>
      </c>
      <c r="D43" s="103">
        <v>46077</v>
      </c>
      <c r="E43" s="46">
        <v>2022840</v>
      </c>
      <c r="F43" s="46">
        <v>1756390</v>
      </c>
      <c r="G43" s="29">
        <v>266450</v>
      </c>
      <c r="H43" s="46">
        <v>3</v>
      </c>
    </row>
    <row r="44" spans="1:8" ht="35.25">
      <c r="A44" s="45" t="s">
        <v>478</v>
      </c>
      <c r="B44" s="46" t="s">
        <v>440</v>
      </c>
      <c r="C44" s="46" t="s">
        <v>5</v>
      </c>
      <c r="D44" s="103">
        <v>46046</v>
      </c>
      <c r="E44" s="46">
        <v>2009740</v>
      </c>
      <c r="F44" s="46">
        <v>1896800</v>
      </c>
      <c r="G44" s="29">
        <v>112940</v>
      </c>
      <c r="H44" s="46">
        <v>6</v>
      </c>
    </row>
    <row r="45" spans="1:8" ht="35.25">
      <c r="A45" s="45" t="s">
        <v>479</v>
      </c>
      <c r="B45" s="46" t="s">
        <v>419</v>
      </c>
      <c r="C45" s="46" t="s">
        <v>8</v>
      </c>
      <c r="D45" s="103">
        <v>46097</v>
      </c>
      <c r="E45" s="46">
        <v>1969030</v>
      </c>
      <c r="F45" s="46">
        <v>1663040</v>
      </c>
      <c r="G45" s="29">
        <v>305990</v>
      </c>
      <c r="H45" s="46">
        <v>4</v>
      </c>
    </row>
    <row r="46" spans="1:8" ht="35.25">
      <c r="A46" s="45" t="s">
        <v>480</v>
      </c>
      <c r="B46" s="46" t="s">
        <v>400</v>
      </c>
      <c r="C46" s="46" t="s">
        <v>11</v>
      </c>
      <c r="D46" s="103">
        <v>45974</v>
      </c>
      <c r="E46" s="46">
        <v>1958960</v>
      </c>
      <c r="F46" s="46">
        <v>1935400</v>
      </c>
      <c r="G46" s="29">
        <v>23560</v>
      </c>
      <c r="H46" s="46">
        <v>3</v>
      </c>
    </row>
    <row r="47" spans="1:8" ht="35.25">
      <c r="A47" s="45" t="s">
        <v>481</v>
      </c>
      <c r="B47" s="46" t="s">
        <v>259</v>
      </c>
      <c r="C47" s="46" t="s">
        <v>11</v>
      </c>
      <c r="D47" s="103">
        <v>46025</v>
      </c>
      <c r="E47" s="46">
        <v>1958450</v>
      </c>
      <c r="F47" s="46">
        <v>1820250</v>
      </c>
      <c r="G47" s="29">
        <v>138200</v>
      </c>
      <c r="H47" s="46">
        <v>0</v>
      </c>
    </row>
    <row r="48" spans="1:8" ht="35.25">
      <c r="A48" s="45" t="s">
        <v>482</v>
      </c>
      <c r="B48" s="46" t="s">
        <v>372</v>
      </c>
      <c r="C48" s="46" t="s">
        <v>11</v>
      </c>
      <c r="D48" s="103">
        <v>46019</v>
      </c>
      <c r="E48" s="46">
        <v>1954030</v>
      </c>
      <c r="F48" s="46">
        <v>1871480</v>
      </c>
      <c r="G48" s="29">
        <v>82550</v>
      </c>
      <c r="H48" s="46">
        <v>2</v>
      </c>
    </row>
    <row r="49" spans="1:8" ht="35.25">
      <c r="A49" s="45" t="s">
        <v>483</v>
      </c>
      <c r="B49" s="46" t="s">
        <v>453</v>
      </c>
      <c r="C49" s="46" t="s">
        <v>4</v>
      </c>
      <c r="D49" s="103">
        <v>45986</v>
      </c>
      <c r="E49" s="46">
        <v>1930390</v>
      </c>
      <c r="F49" s="46">
        <v>1801460</v>
      </c>
      <c r="G49" s="29">
        <v>128930</v>
      </c>
      <c r="H49" s="46">
        <v>1</v>
      </c>
    </row>
    <row r="50" spans="1:8" ht="58.5">
      <c r="A50" s="45" t="s">
        <v>484</v>
      </c>
      <c r="B50" s="46" t="s">
        <v>440</v>
      </c>
      <c r="C50" s="46" t="s">
        <v>5</v>
      </c>
      <c r="D50" s="103">
        <v>46050</v>
      </c>
      <c r="E50" s="46">
        <v>1928600</v>
      </c>
      <c r="F50" s="46">
        <v>1745530</v>
      </c>
      <c r="G50" s="29">
        <v>183070</v>
      </c>
      <c r="H50" s="46">
        <v>0</v>
      </c>
    </row>
    <row r="51" spans="1:8" ht="35.25">
      <c r="A51" s="45" t="s">
        <v>485</v>
      </c>
      <c r="B51" s="46" t="s">
        <v>301</v>
      </c>
      <c r="C51" s="46" t="s">
        <v>6</v>
      </c>
      <c r="D51" s="103">
        <v>46066</v>
      </c>
      <c r="E51" s="46">
        <v>1919020</v>
      </c>
      <c r="F51" s="46">
        <v>1577220</v>
      </c>
      <c r="G51" s="29">
        <v>341800</v>
      </c>
      <c r="H51" s="46">
        <v>3</v>
      </c>
    </row>
    <row r="52" spans="1:8" ht="35.25">
      <c r="A52" s="45" t="s">
        <v>486</v>
      </c>
      <c r="B52" s="46" t="s">
        <v>259</v>
      </c>
      <c r="C52" s="46" t="s">
        <v>11</v>
      </c>
      <c r="D52" s="103">
        <v>45991</v>
      </c>
      <c r="E52" s="46">
        <v>1897950</v>
      </c>
      <c r="F52" s="46">
        <v>1826830</v>
      </c>
      <c r="G52" s="29">
        <v>71120</v>
      </c>
      <c r="H52" s="46">
        <v>4</v>
      </c>
    </row>
    <row r="53" spans="1:8" ht="35.25">
      <c r="A53" s="45" t="s">
        <v>487</v>
      </c>
      <c r="B53" s="46" t="s">
        <v>265</v>
      </c>
      <c r="C53" s="46" t="s">
        <v>7</v>
      </c>
      <c r="D53" s="103">
        <v>46020</v>
      </c>
      <c r="E53" s="46">
        <v>1893280</v>
      </c>
      <c r="F53" s="46">
        <v>1718710</v>
      </c>
      <c r="G53" s="29">
        <v>174570</v>
      </c>
      <c r="H53" s="46">
        <v>1</v>
      </c>
    </row>
    <row r="54" spans="1:8" ht="35.25">
      <c r="A54" s="45" t="s">
        <v>488</v>
      </c>
      <c r="B54" s="46" t="s">
        <v>453</v>
      </c>
      <c r="C54" s="46" t="s">
        <v>8</v>
      </c>
      <c r="D54" s="103">
        <v>46092</v>
      </c>
      <c r="E54" s="46">
        <v>1887270</v>
      </c>
      <c r="F54" s="46">
        <v>1870200</v>
      </c>
      <c r="G54" s="29">
        <v>17070</v>
      </c>
      <c r="H54" s="46">
        <v>2</v>
      </c>
    </row>
    <row r="55" spans="1:8" ht="35.25">
      <c r="A55" s="45" t="s">
        <v>489</v>
      </c>
      <c r="B55" s="46" t="s">
        <v>301</v>
      </c>
      <c r="C55" s="46" t="s">
        <v>9</v>
      </c>
      <c r="D55" s="103">
        <v>46107</v>
      </c>
      <c r="E55" s="46">
        <v>1882220</v>
      </c>
      <c r="F55" s="46">
        <v>1769940</v>
      </c>
      <c r="G55" s="29">
        <v>112280</v>
      </c>
      <c r="H55" s="46">
        <v>2</v>
      </c>
    </row>
    <row r="56" spans="1:8" ht="35.25">
      <c r="A56" s="45" t="s">
        <v>490</v>
      </c>
      <c r="B56" s="46" t="s">
        <v>453</v>
      </c>
      <c r="C56" s="46" t="s">
        <v>6</v>
      </c>
      <c r="D56" s="103">
        <v>46061</v>
      </c>
      <c r="E56" s="46">
        <v>1833930</v>
      </c>
      <c r="F56" s="46">
        <v>1727400</v>
      </c>
      <c r="G56" s="29">
        <v>106530</v>
      </c>
      <c r="H56" s="46">
        <v>0</v>
      </c>
    </row>
    <row r="57" spans="1:8" ht="35.25">
      <c r="A57" s="45" t="s">
        <v>491</v>
      </c>
      <c r="B57" s="46" t="s">
        <v>400</v>
      </c>
      <c r="C57" s="46" t="s">
        <v>5</v>
      </c>
      <c r="D57" s="103">
        <v>46047</v>
      </c>
      <c r="E57" s="46">
        <v>1828150</v>
      </c>
      <c r="F57" s="46">
        <v>1361970</v>
      </c>
      <c r="G57" s="29">
        <v>466180</v>
      </c>
      <c r="H57" s="46">
        <v>4</v>
      </c>
    </row>
    <row r="58" spans="1:8" ht="35.25">
      <c r="A58" s="45" t="s">
        <v>492</v>
      </c>
      <c r="B58" s="46" t="s">
        <v>301</v>
      </c>
      <c r="C58" s="46" t="s">
        <v>5</v>
      </c>
      <c r="D58" s="103">
        <v>46052</v>
      </c>
      <c r="E58" s="46">
        <v>1811020</v>
      </c>
      <c r="F58" s="46">
        <v>1584050</v>
      </c>
      <c r="G58" s="29">
        <v>226970</v>
      </c>
      <c r="H58" s="46">
        <v>4</v>
      </c>
    </row>
    <row r="59" spans="1:8" ht="35.25">
      <c r="A59" s="45" t="s">
        <v>493</v>
      </c>
      <c r="B59" s="46" t="s">
        <v>259</v>
      </c>
      <c r="C59" s="46" t="s">
        <v>12</v>
      </c>
      <c r="D59" s="103">
        <v>46020</v>
      </c>
      <c r="E59" s="46">
        <v>1803480</v>
      </c>
      <c r="F59" s="46">
        <v>1731870</v>
      </c>
      <c r="G59" s="29">
        <v>71610</v>
      </c>
      <c r="H59" s="46">
        <v>4</v>
      </c>
    </row>
    <row r="60" spans="1:8" ht="35.25">
      <c r="A60" s="45" t="s">
        <v>494</v>
      </c>
      <c r="B60" s="46" t="s">
        <v>451</v>
      </c>
      <c r="C60" s="46" t="s">
        <v>12</v>
      </c>
      <c r="D60" s="103">
        <v>46008</v>
      </c>
      <c r="E60" s="46">
        <v>1784330</v>
      </c>
      <c r="F60" s="46">
        <v>1514980</v>
      </c>
      <c r="G60" s="29">
        <v>269350</v>
      </c>
      <c r="H60" s="46">
        <v>6</v>
      </c>
    </row>
    <row r="61" spans="1:8" ht="35.25">
      <c r="A61" s="45" t="s">
        <v>495</v>
      </c>
      <c r="B61" s="46" t="s">
        <v>433</v>
      </c>
      <c r="C61" s="46" t="s">
        <v>4</v>
      </c>
      <c r="D61" s="103">
        <v>46005</v>
      </c>
      <c r="E61" s="46">
        <v>1724520</v>
      </c>
      <c r="F61" s="46">
        <v>1375200</v>
      </c>
      <c r="G61" s="29">
        <v>349320</v>
      </c>
      <c r="H61" s="46">
        <v>2</v>
      </c>
    </row>
    <row r="62" spans="1:8" ht="35.25">
      <c r="A62" s="45" t="s">
        <v>496</v>
      </c>
      <c r="B62" s="46" t="s">
        <v>419</v>
      </c>
      <c r="C62" s="46" t="s">
        <v>5</v>
      </c>
      <c r="D62" s="103">
        <v>46053</v>
      </c>
      <c r="E62" s="46">
        <v>1717830</v>
      </c>
      <c r="F62" s="46">
        <v>1408020</v>
      </c>
      <c r="G62" s="29">
        <v>309810</v>
      </c>
      <c r="H62" s="46">
        <v>0</v>
      </c>
    </row>
    <row r="63" spans="1:8" ht="35.25">
      <c r="A63" s="45" t="s">
        <v>497</v>
      </c>
      <c r="B63" s="46" t="s">
        <v>301</v>
      </c>
      <c r="C63" s="46" t="s">
        <v>4</v>
      </c>
      <c r="D63" s="103">
        <v>46013</v>
      </c>
      <c r="E63" s="46">
        <v>1699410</v>
      </c>
      <c r="F63" s="46">
        <v>1556280</v>
      </c>
      <c r="G63" s="29">
        <v>143130</v>
      </c>
      <c r="H63" s="46">
        <v>0</v>
      </c>
    </row>
    <row r="64" spans="1:8" ht="35.25">
      <c r="A64" s="45" t="s">
        <v>498</v>
      </c>
      <c r="B64" s="46" t="s">
        <v>372</v>
      </c>
      <c r="C64" s="46" t="s">
        <v>9</v>
      </c>
      <c r="D64" s="103">
        <v>46116</v>
      </c>
      <c r="E64" s="46">
        <v>1698760</v>
      </c>
      <c r="F64" s="46">
        <v>1421160</v>
      </c>
      <c r="G64" s="29">
        <v>277600</v>
      </c>
      <c r="H64" s="46">
        <v>2</v>
      </c>
    </row>
    <row r="65" spans="1:8" ht="35.25">
      <c r="A65" s="45" t="s">
        <v>499</v>
      </c>
      <c r="B65" s="46" t="s">
        <v>400</v>
      </c>
      <c r="C65" s="46" t="s">
        <v>7</v>
      </c>
      <c r="D65" s="103">
        <v>46001</v>
      </c>
      <c r="E65" s="46">
        <v>1696110</v>
      </c>
      <c r="F65" s="46">
        <v>1497430</v>
      </c>
      <c r="G65" s="29">
        <v>198680</v>
      </c>
      <c r="H65" s="46">
        <v>5</v>
      </c>
    </row>
    <row r="66" spans="1:8" ht="58.5">
      <c r="A66" s="45" t="s">
        <v>500</v>
      </c>
      <c r="B66" s="46" t="s">
        <v>259</v>
      </c>
      <c r="C66" s="46" t="s">
        <v>5</v>
      </c>
      <c r="D66" s="103">
        <v>46055</v>
      </c>
      <c r="E66" s="46">
        <v>1677310</v>
      </c>
      <c r="F66" s="46">
        <v>1571410</v>
      </c>
      <c r="G66" s="29">
        <v>105900</v>
      </c>
      <c r="H66" s="46">
        <v>6</v>
      </c>
    </row>
    <row r="67" spans="1:8" ht="35.25">
      <c r="A67" s="45" t="s">
        <v>501</v>
      </c>
      <c r="B67" s="46" t="s">
        <v>419</v>
      </c>
      <c r="C67" s="46" t="s">
        <v>5</v>
      </c>
      <c r="D67" s="103">
        <v>46031</v>
      </c>
      <c r="E67" s="46">
        <v>1645900</v>
      </c>
      <c r="F67" s="46">
        <v>1608740</v>
      </c>
      <c r="G67" s="29">
        <v>37160</v>
      </c>
      <c r="H67" s="46">
        <v>2</v>
      </c>
    </row>
    <row r="68" spans="1:8" ht="35.25">
      <c r="A68" s="45" t="s">
        <v>502</v>
      </c>
      <c r="B68" s="46" t="s">
        <v>433</v>
      </c>
      <c r="C68" s="46" t="s">
        <v>4</v>
      </c>
      <c r="D68" s="103">
        <v>46024</v>
      </c>
      <c r="E68" s="46">
        <v>1645230</v>
      </c>
      <c r="F68" s="46">
        <v>1336720</v>
      </c>
      <c r="G68" s="29">
        <v>308510</v>
      </c>
      <c r="H68" s="46">
        <v>6</v>
      </c>
    </row>
    <row r="69" spans="1:8" ht="58.5">
      <c r="A69" s="45" t="s">
        <v>503</v>
      </c>
      <c r="B69" s="46" t="s">
        <v>400</v>
      </c>
      <c r="C69" s="46" t="s">
        <v>7</v>
      </c>
      <c r="D69" s="103">
        <v>45986</v>
      </c>
      <c r="E69" s="46">
        <v>1639830</v>
      </c>
      <c r="F69" s="46">
        <v>1247130</v>
      </c>
      <c r="G69" s="29">
        <v>392700</v>
      </c>
      <c r="H69" s="46">
        <v>0</v>
      </c>
    </row>
    <row r="70" spans="1:8" ht="35.25">
      <c r="A70" s="45" t="s">
        <v>504</v>
      </c>
      <c r="B70" s="46" t="s">
        <v>259</v>
      </c>
      <c r="C70" s="46" t="s">
        <v>5</v>
      </c>
      <c r="D70" s="103">
        <v>46048</v>
      </c>
      <c r="E70" s="46">
        <v>1589820</v>
      </c>
      <c r="F70" s="46">
        <v>1414560</v>
      </c>
      <c r="G70" s="29">
        <v>175260</v>
      </c>
      <c r="H70" s="46">
        <v>4</v>
      </c>
    </row>
    <row r="71" spans="1:8" ht="58.5">
      <c r="A71" s="45" t="s">
        <v>505</v>
      </c>
      <c r="B71" s="46" t="s">
        <v>259</v>
      </c>
      <c r="C71" s="46" t="s">
        <v>5</v>
      </c>
      <c r="D71" s="103">
        <v>46043</v>
      </c>
      <c r="E71" s="46">
        <v>1566020</v>
      </c>
      <c r="F71" s="46">
        <v>1370740</v>
      </c>
      <c r="G71" s="29">
        <v>195280</v>
      </c>
      <c r="H71" s="46">
        <v>5</v>
      </c>
    </row>
    <row r="72" spans="1:8" ht="35.25">
      <c r="A72" s="45" t="s">
        <v>506</v>
      </c>
      <c r="B72" s="46" t="s">
        <v>301</v>
      </c>
      <c r="C72" s="46" t="s">
        <v>9</v>
      </c>
      <c r="D72" s="103">
        <v>46115</v>
      </c>
      <c r="E72" s="46">
        <v>1548030</v>
      </c>
      <c r="F72" s="46">
        <v>1180420</v>
      </c>
      <c r="G72" s="29">
        <v>367610</v>
      </c>
      <c r="H72" s="46">
        <v>6</v>
      </c>
    </row>
    <row r="73" spans="1:8" ht="35.25">
      <c r="A73" s="45" t="s">
        <v>507</v>
      </c>
      <c r="B73" s="46" t="s">
        <v>265</v>
      </c>
      <c r="C73" s="46" t="s">
        <v>5</v>
      </c>
      <c r="D73" s="103">
        <v>46036</v>
      </c>
      <c r="E73" s="46">
        <v>1526020</v>
      </c>
      <c r="F73" s="46">
        <v>1165160</v>
      </c>
      <c r="G73" s="29">
        <v>360860</v>
      </c>
      <c r="H73" s="46">
        <v>2</v>
      </c>
    </row>
    <row r="74" spans="1:8" ht="35.25">
      <c r="A74" s="45" t="s">
        <v>508</v>
      </c>
      <c r="B74" s="46" t="s">
        <v>400</v>
      </c>
      <c r="C74" s="46" t="s">
        <v>12</v>
      </c>
      <c r="D74" s="103">
        <v>46019</v>
      </c>
      <c r="E74" s="46">
        <v>1516010</v>
      </c>
      <c r="F74" s="46">
        <v>1376050</v>
      </c>
      <c r="G74" s="29">
        <v>139960</v>
      </c>
      <c r="H74" s="46">
        <v>6</v>
      </c>
    </row>
    <row r="75" spans="1:8" ht="35.25">
      <c r="A75" s="45" t="s">
        <v>509</v>
      </c>
      <c r="B75" s="46" t="s">
        <v>265</v>
      </c>
      <c r="C75" s="46" t="s">
        <v>6</v>
      </c>
      <c r="D75" s="103">
        <v>46069</v>
      </c>
      <c r="E75" s="46">
        <v>1501590</v>
      </c>
      <c r="F75" s="46">
        <v>1211450</v>
      </c>
      <c r="G75" s="29">
        <v>290140</v>
      </c>
      <c r="H75" s="46">
        <v>6</v>
      </c>
    </row>
    <row r="76" spans="1:8" ht="35.25">
      <c r="A76" s="45" t="s">
        <v>510</v>
      </c>
      <c r="B76" s="46" t="s">
        <v>259</v>
      </c>
      <c r="C76" s="46" t="s">
        <v>11</v>
      </c>
      <c r="D76" s="103">
        <v>46003</v>
      </c>
      <c r="E76" s="46">
        <v>1476360</v>
      </c>
      <c r="F76" s="46">
        <v>1422080</v>
      </c>
      <c r="G76" s="29">
        <v>54280</v>
      </c>
      <c r="H76" s="46">
        <v>0</v>
      </c>
    </row>
    <row r="77" spans="1:8" ht="35.25">
      <c r="A77" s="45" t="s">
        <v>511</v>
      </c>
      <c r="B77" s="46" t="s">
        <v>453</v>
      </c>
      <c r="C77" s="46" t="s">
        <v>7</v>
      </c>
      <c r="D77" s="103">
        <v>46037</v>
      </c>
      <c r="E77" s="46">
        <v>1475130</v>
      </c>
      <c r="F77" s="46">
        <v>1116570</v>
      </c>
      <c r="G77" s="29">
        <v>358560</v>
      </c>
      <c r="H77" s="46">
        <v>6</v>
      </c>
    </row>
    <row r="78" spans="1:8" ht="35.25">
      <c r="A78" s="45" t="s">
        <v>512</v>
      </c>
      <c r="B78" s="46" t="s">
        <v>265</v>
      </c>
      <c r="C78" s="46" t="s">
        <v>6</v>
      </c>
      <c r="D78" s="103">
        <v>46059</v>
      </c>
      <c r="E78" s="46">
        <v>1466840</v>
      </c>
      <c r="F78" s="46">
        <v>1201070</v>
      </c>
      <c r="G78" s="29">
        <v>265770</v>
      </c>
      <c r="H78" s="46">
        <v>1</v>
      </c>
    </row>
    <row r="79" spans="1:8" ht="35.25">
      <c r="A79" s="45" t="s">
        <v>513</v>
      </c>
      <c r="B79" s="46" t="s">
        <v>453</v>
      </c>
      <c r="C79" s="46" t="s">
        <v>9</v>
      </c>
      <c r="D79" s="103">
        <v>46111</v>
      </c>
      <c r="E79" s="46">
        <v>1443180</v>
      </c>
      <c r="F79" s="46">
        <v>1144740</v>
      </c>
      <c r="G79" s="29">
        <v>298440</v>
      </c>
      <c r="H79" s="46">
        <v>6</v>
      </c>
    </row>
    <row r="80" spans="1:8" ht="35.25">
      <c r="A80" s="45" t="s">
        <v>514</v>
      </c>
      <c r="B80" s="46" t="s">
        <v>453</v>
      </c>
      <c r="C80" s="46" t="s">
        <v>12</v>
      </c>
      <c r="D80" s="103">
        <v>46018</v>
      </c>
      <c r="E80" s="46">
        <v>1402040</v>
      </c>
      <c r="F80" s="46">
        <v>1285760</v>
      </c>
      <c r="G80" s="29">
        <v>116280</v>
      </c>
      <c r="H80" s="46">
        <v>6</v>
      </c>
    </row>
    <row r="81" spans="1:8" ht="35.25">
      <c r="A81" s="45" t="s">
        <v>515</v>
      </c>
      <c r="B81" s="46" t="s">
        <v>372</v>
      </c>
      <c r="C81" s="46" t="s">
        <v>6</v>
      </c>
      <c r="D81" s="103">
        <v>46071</v>
      </c>
      <c r="E81" s="46">
        <v>1376520</v>
      </c>
      <c r="F81" s="46">
        <v>1051480</v>
      </c>
      <c r="G81" s="29">
        <v>325040</v>
      </c>
      <c r="H81" s="46">
        <v>0</v>
      </c>
    </row>
    <row r="82" spans="1:8" ht="35.25">
      <c r="A82" s="45" t="s">
        <v>516</v>
      </c>
      <c r="B82" s="46" t="s">
        <v>400</v>
      </c>
      <c r="C82" s="46" t="s">
        <v>9</v>
      </c>
      <c r="D82" s="103">
        <v>46110</v>
      </c>
      <c r="E82" s="46">
        <v>1355580</v>
      </c>
      <c r="F82" s="46">
        <v>1260400</v>
      </c>
      <c r="G82" s="29">
        <v>95180</v>
      </c>
      <c r="H82" s="46">
        <v>7</v>
      </c>
    </row>
    <row r="83" spans="1:8" ht="35.25">
      <c r="A83" s="45" t="s">
        <v>517</v>
      </c>
      <c r="B83" s="46" t="s">
        <v>451</v>
      </c>
      <c r="C83" s="46" t="s">
        <v>11</v>
      </c>
      <c r="D83" s="103">
        <v>45970</v>
      </c>
      <c r="E83" s="46">
        <v>1344340</v>
      </c>
      <c r="F83" s="46">
        <v>1017210</v>
      </c>
      <c r="G83" s="29">
        <v>327130</v>
      </c>
      <c r="H83" s="46">
        <v>7</v>
      </c>
    </row>
    <row r="84" spans="1:8" ht="35.25">
      <c r="A84" s="45" t="s">
        <v>518</v>
      </c>
      <c r="B84" s="46" t="s">
        <v>301</v>
      </c>
      <c r="C84" s="46" t="s">
        <v>4</v>
      </c>
      <c r="D84" s="103">
        <v>46001</v>
      </c>
      <c r="E84" s="46">
        <v>1337040</v>
      </c>
      <c r="F84" s="46">
        <v>1069310</v>
      </c>
      <c r="G84" s="29">
        <v>267730</v>
      </c>
      <c r="H84" s="46">
        <v>3</v>
      </c>
    </row>
    <row r="85" spans="1:8" ht="35.25">
      <c r="A85" s="45" t="s">
        <v>519</v>
      </c>
      <c r="B85" s="46" t="s">
        <v>259</v>
      </c>
      <c r="C85" s="46" t="s">
        <v>11</v>
      </c>
      <c r="D85" s="103">
        <v>45963</v>
      </c>
      <c r="E85" s="46">
        <v>1317850</v>
      </c>
      <c r="F85" s="46">
        <v>999050</v>
      </c>
      <c r="G85" s="29">
        <v>318800</v>
      </c>
      <c r="H85" s="46">
        <v>0</v>
      </c>
    </row>
    <row r="86" spans="1:8" ht="58.5">
      <c r="A86" s="45" t="s">
        <v>520</v>
      </c>
      <c r="B86" s="46" t="s">
        <v>451</v>
      </c>
      <c r="C86" s="46" t="s">
        <v>12</v>
      </c>
      <c r="D86" s="103">
        <v>46023</v>
      </c>
      <c r="E86" s="46">
        <v>1284670</v>
      </c>
      <c r="F86" s="46">
        <v>859040</v>
      </c>
      <c r="G86" s="29">
        <v>425630</v>
      </c>
      <c r="H86" s="46">
        <v>6</v>
      </c>
    </row>
    <row r="87" spans="1:8" ht="35.25">
      <c r="A87" s="45" t="s">
        <v>521</v>
      </c>
      <c r="B87" s="46" t="s">
        <v>259</v>
      </c>
      <c r="C87" s="46" t="s">
        <v>5</v>
      </c>
      <c r="D87" s="103">
        <v>46040</v>
      </c>
      <c r="E87" s="46">
        <v>1279210</v>
      </c>
      <c r="F87" s="46">
        <v>1192920</v>
      </c>
      <c r="G87" s="29">
        <v>86290</v>
      </c>
      <c r="H87" s="46">
        <v>6</v>
      </c>
    </row>
    <row r="88" spans="1:8" ht="58.5">
      <c r="A88" s="45" t="s">
        <v>522</v>
      </c>
      <c r="B88" s="46" t="s">
        <v>419</v>
      </c>
      <c r="C88" s="46" t="s">
        <v>5</v>
      </c>
      <c r="D88" s="103">
        <v>46033</v>
      </c>
      <c r="E88" s="46">
        <v>1273490</v>
      </c>
      <c r="F88" s="46">
        <v>1055640</v>
      </c>
      <c r="G88" s="29">
        <v>217850</v>
      </c>
      <c r="H88" s="46">
        <v>6</v>
      </c>
    </row>
    <row r="89" spans="1:8" ht="58.5">
      <c r="A89" s="45" t="s">
        <v>523</v>
      </c>
      <c r="B89" s="46" t="s">
        <v>419</v>
      </c>
      <c r="C89" s="46" t="s">
        <v>11</v>
      </c>
      <c r="D89" s="103">
        <v>46003</v>
      </c>
      <c r="E89" s="46">
        <v>1256580</v>
      </c>
      <c r="F89" s="46">
        <v>1091110</v>
      </c>
      <c r="G89" s="29">
        <v>165470</v>
      </c>
      <c r="H89" s="46">
        <v>3</v>
      </c>
    </row>
    <row r="90" spans="1:8" ht="35.25">
      <c r="A90" s="45" t="s">
        <v>524</v>
      </c>
      <c r="B90" s="46" t="s">
        <v>451</v>
      </c>
      <c r="C90" s="46" t="s">
        <v>9</v>
      </c>
      <c r="D90" s="103">
        <v>46020</v>
      </c>
      <c r="E90" s="46">
        <v>1232910</v>
      </c>
      <c r="F90" s="46">
        <v>1031230</v>
      </c>
      <c r="G90" s="29">
        <v>201680</v>
      </c>
      <c r="H90" s="46">
        <v>5</v>
      </c>
    </row>
    <row r="91" spans="1:8" ht="35.25">
      <c r="A91" s="45" t="s">
        <v>525</v>
      </c>
      <c r="B91" s="46" t="s">
        <v>372</v>
      </c>
      <c r="C91" s="46" t="s">
        <v>4</v>
      </c>
      <c r="D91" s="103">
        <v>46016</v>
      </c>
      <c r="E91" s="46">
        <v>1202430</v>
      </c>
      <c r="F91" s="46">
        <v>983580</v>
      </c>
      <c r="G91" s="29">
        <v>218850</v>
      </c>
      <c r="H91" s="46">
        <v>7</v>
      </c>
    </row>
    <row r="92" spans="1:8" ht="35.25">
      <c r="A92" s="45" t="s">
        <v>526</v>
      </c>
      <c r="B92" s="46" t="s">
        <v>451</v>
      </c>
      <c r="C92" s="46" t="s">
        <v>6</v>
      </c>
      <c r="D92" s="103">
        <v>46074</v>
      </c>
      <c r="E92" s="46">
        <v>1201640</v>
      </c>
      <c r="F92" s="46">
        <v>1100040</v>
      </c>
      <c r="G92" s="29">
        <v>101600</v>
      </c>
      <c r="H92" s="46">
        <v>4</v>
      </c>
    </row>
    <row r="93" spans="1:8" ht="35.25">
      <c r="A93" s="45" t="s">
        <v>527</v>
      </c>
      <c r="B93" s="46" t="s">
        <v>451</v>
      </c>
      <c r="C93" s="46" t="s">
        <v>8</v>
      </c>
      <c r="D93" s="103">
        <v>46102</v>
      </c>
      <c r="E93" s="46">
        <v>1186650</v>
      </c>
      <c r="F93" s="46">
        <v>835910</v>
      </c>
      <c r="G93" s="29">
        <v>350740</v>
      </c>
      <c r="H93" s="46">
        <v>7</v>
      </c>
    </row>
    <row r="94" spans="1:8" ht="35.25">
      <c r="A94" s="45" t="s">
        <v>528</v>
      </c>
      <c r="B94" s="46" t="s">
        <v>400</v>
      </c>
      <c r="C94" s="46" t="s">
        <v>8</v>
      </c>
      <c r="D94" s="103">
        <v>46091</v>
      </c>
      <c r="E94" s="46">
        <v>1160280</v>
      </c>
      <c r="F94" s="46">
        <v>855240</v>
      </c>
      <c r="G94" s="29">
        <v>305040</v>
      </c>
      <c r="H94" s="46">
        <v>5</v>
      </c>
    </row>
    <row r="95" spans="1:8" ht="35.25">
      <c r="A95" s="45" t="s">
        <v>529</v>
      </c>
      <c r="B95" s="46" t="s">
        <v>301</v>
      </c>
      <c r="C95" s="46" t="s">
        <v>9</v>
      </c>
      <c r="D95" s="103">
        <v>46108</v>
      </c>
      <c r="E95" s="46">
        <v>1122570</v>
      </c>
      <c r="F95" s="46">
        <v>714630</v>
      </c>
      <c r="G95" s="29">
        <v>407940</v>
      </c>
      <c r="H95" s="46">
        <v>6</v>
      </c>
    </row>
    <row r="96" spans="1:8" ht="35.25">
      <c r="A96" s="45" t="s">
        <v>530</v>
      </c>
      <c r="B96" s="46" t="s">
        <v>259</v>
      </c>
      <c r="C96" s="46" t="s">
        <v>6</v>
      </c>
      <c r="D96" s="103">
        <v>46075</v>
      </c>
      <c r="E96" s="46">
        <v>1099020</v>
      </c>
      <c r="F96" s="46">
        <v>838650</v>
      </c>
      <c r="G96" s="29">
        <v>260370</v>
      </c>
      <c r="H96" s="46">
        <v>5</v>
      </c>
    </row>
    <row r="97" spans="1:8" ht="35.25">
      <c r="A97" s="45" t="s">
        <v>531</v>
      </c>
      <c r="B97" s="46" t="s">
        <v>451</v>
      </c>
      <c r="C97" s="46" t="s">
        <v>4</v>
      </c>
      <c r="D97" s="103">
        <v>45985</v>
      </c>
      <c r="E97" s="46">
        <v>1082080</v>
      </c>
      <c r="F97" s="46">
        <v>972330</v>
      </c>
      <c r="G97" s="29">
        <v>109750</v>
      </c>
      <c r="H97" s="46">
        <v>6</v>
      </c>
    </row>
    <row r="98" spans="1:8" ht="35.25">
      <c r="A98" s="45" t="s">
        <v>532</v>
      </c>
      <c r="B98" s="46" t="s">
        <v>372</v>
      </c>
      <c r="C98" s="46" t="s">
        <v>7</v>
      </c>
      <c r="D98" s="103">
        <v>46038</v>
      </c>
      <c r="E98" s="46">
        <v>1044170</v>
      </c>
      <c r="F98" s="46">
        <v>741760</v>
      </c>
      <c r="G98" s="29">
        <v>302410</v>
      </c>
      <c r="H98" s="46">
        <v>6</v>
      </c>
    </row>
    <row r="99" spans="1:8" ht="35.25">
      <c r="A99" s="45" t="s">
        <v>533</v>
      </c>
      <c r="B99" s="46" t="s">
        <v>433</v>
      </c>
      <c r="C99" s="46" t="s">
        <v>4</v>
      </c>
      <c r="D99" s="103">
        <v>45982</v>
      </c>
      <c r="E99" s="46">
        <v>1040690</v>
      </c>
      <c r="F99" s="46">
        <v>649120</v>
      </c>
      <c r="G99" s="29">
        <v>391570</v>
      </c>
      <c r="H99" s="46">
        <v>6</v>
      </c>
    </row>
    <row r="100" spans="1:8" ht="35.25">
      <c r="A100" s="45" t="s">
        <v>534</v>
      </c>
      <c r="B100" s="46" t="s">
        <v>453</v>
      </c>
      <c r="C100" s="46" t="s">
        <v>8</v>
      </c>
      <c r="D100" s="103">
        <v>46104</v>
      </c>
      <c r="E100" s="46">
        <v>1006280</v>
      </c>
      <c r="F100" s="46">
        <v>669480</v>
      </c>
      <c r="G100" s="29">
        <v>336800</v>
      </c>
      <c r="H100" s="46">
        <v>3</v>
      </c>
    </row>
    <row r="101" spans="1:8" ht="35.25">
      <c r="A101" s="45" t="s">
        <v>535</v>
      </c>
      <c r="B101" s="46" t="s">
        <v>440</v>
      </c>
      <c r="C101" s="46" t="s">
        <v>11</v>
      </c>
      <c r="D101" s="103">
        <v>45983</v>
      </c>
      <c r="E101" s="46">
        <v>1002370</v>
      </c>
      <c r="F101" s="46">
        <v>736360</v>
      </c>
      <c r="G101" s="29">
        <v>266010</v>
      </c>
      <c r="H101" s="46">
        <v>5</v>
      </c>
    </row>
    <row r="102" spans="1:8" ht="35.25">
      <c r="A102" s="45" t="s">
        <v>536</v>
      </c>
      <c r="B102" s="46" t="s">
        <v>419</v>
      </c>
      <c r="C102" s="46" t="s">
        <v>7</v>
      </c>
      <c r="D102" s="103">
        <v>45963</v>
      </c>
      <c r="E102" s="46">
        <v>890000</v>
      </c>
      <c r="F102" s="46">
        <v>331610</v>
      </c>
      <c r="G102" s="29">
        <v>558390</v>
      </c>
      <c r="H102" s="46">
        <v>0</v>
      </c>
    </row>
    <row r="103" spans="1:8" ht="35.25">
      <c r="A103" s="45" t="s">
        <v>537</v>
      </c>
      <c r="B103" s="46" t="s">
        <v>372</v>
      </c>
      <c r="C103" s="46" t="s">
        <v>8</v>
      </c>
      <c r="D103" s="103">
        <v>46105</v>
      </c>
      <c r="E103" s="46">
        <v>666570</v>
      </c>
      <c r="F103" s="46">
        <v>200000</v>
      </c>
      <c r="G103" s="29">
        <v>466570</v>
      </c>
      <c r="H103" s="46">
        <v>6</v>
      </c>
    </row>
    <row r="104" spans="1:8" ht="35.25">
      <c r="A104" s="45" t="s">
        <v>538</v>
      </c>
      <c r="B104" s="46" t="s">
        <v>451</v>
      </c>
      <c r="C104" s="46" t="s">
        <v>11</v>
      </c>
      <c r="D104" s="103">
        <v>46025</v>
      </c>
      <c r="E104" s="46">
        <v>565670</v>
      </c>
      <c r="F104" s="46">
        <v>450000</v>
      </c>
      <c r="G104" s="29">
        <v>115670</v>
      </c>
      <c r="H104" s="46">
        <v>6</v>
      </c>
    </row>
    <row r="105" spans="1:8" ht="35.25">
      <c r="A105" s="45" t="s">
        <v>539</v>
      </c>
      <c r="B105" s="46" t="s">
        <v>259</v>
      </c>
      <c r="C105" s="46" t="s">
        <v>8</v>
      </c>
      <c r="D105" s="103">
        <v>46088</v>
      </c>
      <c r="E105" s="46">
        <v>365440</v>
      </c>
      <c r="F105" s="46">
        <v>45000</v>
      </c>
      <c r="G105" s="29">
        <v>320440</v>
      </c>
      <c r="H105" s="46">
        <v>6</v>
      </c>
    </row>
    <row r="106" spans="1:8" ht="35.25">
      <c r="A106" s="45" t="s">
        <v>540</v>
      </c>
      <c r="B106" s="46" t="s">
        <v>440</v>
      </c>
      <c r="C106" s="46" t="s">
        <v>12</v>
      </c>
      <c r="D106" s="103">
        <v>46009</v>
      </c>
      <c r="E106" s="46">
        <v>246090</v>
      </c>
      <c r="F106" s="46">
        <v>240950</v>
      </c>
      <c r="G106" s="29">
        <v>5140</v>
      </c>
      <c r="H106" s="46">
        <v>0</v>
      </c>
    </row>
    <row r="107" spans="1:8" ht="35.25">
      <c r="A107" s="45" t="s">
        <v>541</v>
      </c>
      <c r="B107" s="46" t="s">
        <v>433</v>
      </c>
      <c r="C107" s="46" t="s">
        <v>6</v>
      </c>
      <c r="D107" s="103">
        <v>46073</v>
      </c>
      <c r="E107" s="46">
        <v>245680</v>
      </c>
      <c r="F107" s="46">
        <v>50000</v>
      </c>
      <c r="G107" s="29">
        <v>195680</v>
      </c>
      <c r="H107" s="46">
        <v>0</v>
      </c>
    </row>
    <row r="108" spans="1:8" ht="35.25">
      <c r="A108" s="45" t="s">
        <v>542</v>
      </c>
      <c r="B108" s="46" t="s">
        <v>259</v>
      </c>
      <c r="C108" s="46" t="s">
        <v>12</v>
      </c>
      <c r="D108" s="103">
        <v>46004</v>
      </c>
      <c r="E108" s="46">
        <v>245520</v>
      </c>
      <c r="F108" s="46">
        <v>205250</v>
      </c>
      <c r="G108" s="29">
        <v>40270</v>
      </c>
      <c r="H108" s="46">
        <v>2</v>
      </c>
    </row>
    <row r="109" spans="1:8" ht="58.5">
      <c r="A109" s="45" t="s">
        <v>543</v>
      </c>
      <c r="B109" s="46" t="s">
        <v>419</v>
      </c>
      <c r="C109" s="46" t="s">
        <v>12</v>
      </c>
      <c r="D109" s="103">
        <v>46003</v>
      </c>
      <c r="E109" s="46">
        <v>243250</v>
      </c>
      <c r="F109" s="46">
        <v>220590</v>
      </c>
      <c r="G109" s="29">
        <v>22660</v>
      </c>
      <c r="H109" s="46">
        <v>3</v>
      </c>
    </row>
    <row r="110" spans="1:8" ht="35.25">
      <c r="A110" s="45" t="s">
        <v>544</v>
      </c>
      <c r="B110" s="46" t="s">
        <v>400</v>
      </c>
      <c r="C110" s="46" t="s">
        <v>6</v>
      </c>
      <c r="D110" s="103">
        <v>46057</v>
      </c>
      <c r="E110" s="46">
        <v>243210</v>
      </c>
      <c r="F110" s="46">
        <v>20230</v>
      </c>
      <c r="G110" s="29">
        <v>222980</v>
      </c>
      <c r="H110" s="46">
        <v>2</v>
      </c>
    </row>
    <row r="111" spans="1:8" ht="35.25">
      <c r="A111" s="45" t="s">
        <v>545</v>
      </c>
      <c r="B111" s="46" t="s">
        <v>301</v>
      </c>
      <c r="C111" s="46" t="s">
        <v>6</v>
      </c>
      <c r="D111" s="103">
        <v>46058</v>
      </c>
      <c r="E111" s="46">
        <v>241190</v>
      </c>
      <c r="F111" s="46">
        <v>208510</v>
      </c>
      <c r="G111" s="29">
        <v>32680</v>
      </c>
      <c r="H111" s="46">
        <v>6</v>
      </c>
    </row>
    <row r="112" spans="1:8" ht="35.25">
      <c r="A112" s="45" t="s">
        <v>546</v>
      </c>
      <c r="B112" s="46" t="s">
        <v>259</v>
      </c>
      <c r="C112" s="46" t="s">
        <v>12</v>
      </c>
      <c r="D112" s="103">
        <v>46000</v>
      </c>
      <c r="E112" s="46">
        <v>237500</v>
      </c>
      <c r="F112" s="46">
        <v>220710</v>
      </c>
      <c r="G112" s="29">
        <v>16790</v>
      </c>
      <c r="H112" s="46">
        <v>4</v>
      </c>
    </row>
    <row r="113" spans="1:8" ht="35.25">
      <c r="A113" s="45" t="s">
        <v>547</v>
      </c>
      <c r="B113" s="46" t="s">
        <v>301</v>
      </c>
      <c r="C113" s="46" t="s">
        <v>6</v>
      </c>
      <c r="D113" s="103">
        <v>46081</v>
      </c>
      <c r="E113" s="46">
        <v>230000</v>
      </c>
      <c r="F113" s="46">
        <v>65000</v>
      </c>
      <c r="G113" s="29">
        <v>165000</v>
      </c>
      <c r="H113" s="46">
        <v>6</v>
      </c>
    </row>
    <row r="114" spans="1:8" ht="35.25">
      <c r="A114" s="45" t="s">
        <v>548</v>
      </c>
      <c r="B114" s="46" t="s">
        <v>301</v>
      </c>
      <c r="C114" s="46" t="s">
        <v>12</v>
      </c>
      <c r="D114" s="103">
        <v>46005</v>
      </c>
      <c r="E114" s="46">
        <v>227450</v>
      </c>
      <c r="F114" s="46">
        <v>179950</v>
      </c>
      <c r="G114" s="29">
        <v>47500</v>
      </c>
      <c r="H114" s="46">
        <v>6</v>
      </c>
    </row>
    <row r="115" spans="1:8" ht="35.25">
      <c r="A115" s="45" t="s">
        <v>549</v>
      </c>
      <c r="B115" s="46" t="s">
        <v>301</v>
      </c>
      <c r="C115" s="46" t="s">
        <v>5</v>
      </c>
      <c r="D115" s="103">
        <v>46044</v>
      </c>
      <c r="E115" s="46">
        <v>212430</v>
      </c>
      <c r="F115" s="46">
        <v>171970</v>
      </c>
      <c r="G115" s="29">
        <v>40460</v>
      </c>
      <c r="H115" s="46">
        <v>7</v>
      </c>
    </row>
    <row r="116" spans="1:8" ht="35.25">
      <c r="A116" s="45" t="s">
        <v>550</v>
      </c>
      <c r="B116" s="46" t="s">
        <v>440</v>
      </c>
      <c r="C116" s="46" t="s">
        <v>11</v>
      </c>
      <c r="D116" s="103">
        <v>46004</v>
      </c>
      <c r="E116" s="46">
        <v>211000</v>
      </c>
      <c r="F116" s="46">
        <v>200000</v>
      </c>
      <c r="G116" s="29">
        <v>11000</v>
      </c>
      <c r="H116" s="46">
        <v>7</v>
      </c>
    </row>
    <row r="117" spans="1:8" ht="35.25">
      <c r="A117" s="45" t="s">
        <v>551</v>
      </c>
      <c r="B117" s="46" t="s">
        <v>440</v>
      </c>
      <c r="C117" s="46" t="s">
        <v>7</v>
      </c>
      <c r="D117" s="103">
        <v>45996</v>
      </c>
      <c r="E117" s="46">
        <v>199400</v>
      </c>
      <c r="F117" s="46">
        <v>90000</v>
      </c>
      <c r="G117" s="29">
        <v>109400</v>
      </c>
      <c r="H117" s="46">
        <v>3</v>
      </c>
    </row>
    <row r="118" spans="1:8" ht="35.25">
      <c r="A118" s="45" t="s">
        <v>552</v>
      </c>
      <c r="B118" s="46" t="s">
        <v>400</v>
      </c>
      <c r="C118" s="46" t="s">
        <v>12</v>
      </c>
      <c r="D118" s="103">
        <v>46015</v>
      </c>
      <c r="E118" s="46">
        <v>193650</v>
      </c>
      <c r="F118" s="46">
        <v>183070</v>
      </c>
      <c r="G118" s="29">
        <v>10580</v>
      </c>
      <c r="H118" s="46">
        <v>6</v>
      </c>
    </row>
    <row r="119" spans="1:8" ht="35.25">
      <c r="A119" s="45" t="s">
        <v>553</v>
      </c>
      <c r="B119" s="46" t="s">
        <v>433</v>
      </c>
      <c r="C119" s="46" t="s">
        <v>12</v>
      </c>
      <c r="D119" s="103">
        <v>45999</v>
      </c>
      <c r="E119" s="46">
        <v>189120</v>
      </c>
      <c r="F119" s="46">
        <v>165220</v>
      </c>
      <c r="G119" s="29">
        <v>23900</v>
      </c>
      <c r="H119" s="46">
        <v>7</v>
      </c>
    </row>
    <row r="120" spans="1:8" ht="58.5">
      <c r="A120" s="45" t="s">
        <v>554</v>
      </c>
      <c r="B120" s="46" t="s">
        <v>265</v>
      </c>
      <c r="C120" s="46" t="s">
        <v>11</v>
      </c>
      <c r="D120" s="103">
        <v>45983</v>
      </c>
      <c r="E120" s="46">
        <v>186070</v>
      </c>
      <c r="F120" s="46">
        <v>183950</v>
      </c>
      <c r="G120" s="29">
        <v>2120</v>
      </c>
      <c r="H120" s="46">
        <v>4</v>
      </c>
    </row>
    <row r="121" spans="1:8" ht="35.25">
      <c r="A121" s="45" t="s">
        <v>555</v>
      </c>
      <c r="B121" s="46" t="s">
        <v>433</v>
      </c>
      <c r="C121" s="46" t="s">
        <v>7</v>
      </c>
      <c r="D121" s="103">
        <v>46030</v>
      </c>
      <c r="E121" s="46">
        <v>185610</v>
      </c>
      <c r="F121" s="46">
        <v>115000</v>
      </c>
      <c r="G121" s="29">
        <v>70610</v>
      </c>
      <c r="H121" s="46">
        <v>3</v>
      </c>
    </row>
    <row r="122" spans="1:8" ht="35.25">
      <c r="A122" s="45" t="s">
        <v>556</v>
      </c>
      <c r="B122" s="46" t="s">
        <v>451</v>
      </c>
      <c r="C122" s="46" t="s">
        <v>11</v>
      </c>
      <c r="D122" s="103">
        <v>45997</v>
      </c>
      <c r="E122" s="46">
        <v>184490</v>
      </c>
      <c r="F122" s="46">
        <v>156490</v>
      </c>
      <c r="G122" s="29">
        <v>28000</v>
      </c>
      <c r="H122" s="46">
        <v>7</v>
      </c>
    </row>
    <row r="123" spans="1:8" ht="35.25">
      <c r="A123" s="45" t="s">
        <v>557</v>
      </c>
      <c r="B123" s="46" t="s">
        <v>433</v>
      </c>
      <c r="C123" s="46" t="s">
        <v>7</v>
      </c>
      <c r="D123" s="103">
        <v>45992</v>
      </c>
      <c r="E123" s="46">
        <v>170000</v>
      </c>
      <c r="F123" s="46">
        <v>120000</v>
      </c>
      <c r="G123" s="29">
        <v>50000</v>
      </c>
      <c r="H123" s="46">
        <v>6</v>
      </c>
    </row>
    <row r="124" spans="1:8" ht="58.5">
      <c r="A124" s="45" t="s">
        <v>558</v>
      </c>
      <c r="B124" s="46" t="s">
        <v>400</v>
      </c>
      <c r="C124" s="46" t="s">
        <v>6</v>
      </c>
      <c r="D124" s="103">
        <v>46065</v>
      </c>
      <c r="E124" s="46">
        <v>164400</v>
      </c>
      <c r="F124" s="46">
        <v>135400</v>
      </c>
      <c r="G124" s="29">
        <v>29000</v>
      </c>
      <c r="H124" s="46">
        <v>5</v>
      </c>
    </row>
    <row r="125" spans="1:8" ht="35.25">
      <c r="A125" s="45" t="s">
        <v>559</v>
      </c>
      <c r="B125" s="46" t="s">
        <v>453</v>
      </c>
      <c r="C125" s="46" t="s">
        <v>12</v>
      </c>
      <c r="D125" s="103">
        <v>46014</v>
      </c>
      <c r="E125" s="46">
        <v>160940</v>
      </c>
      <c r="F125" s="46">
        <v>134740</v>
      </c>
      <c r="G125" s="29">
        <v>26200</v>
      </c>
      <c r="H125" s="46">
        <v>7</v>
      </c>
    </row>
    <row r="126" spans="1:8" ht="35.25">
      <c r="A126" s="45" t="s">
        <v>560</v>
      </c>
      <c r="B126" s="46" t="s">
        <v>400</v>
      </c>
      <c r="C126" s="46" t="s">
        <v>6</v>
      </c>
      <c r="D126" s="103">
        <v>46064</v>
      </c>
      <c r="E126" s="46">
        <v>160060</v>
      </c>
      <c r="F126" s="46">
        <v>141140</v>
      </c>
      <c r="G126" s="29">
        <v>18920</v>
      </c>
      <c r="H126" s="46">
        <v>3</v>
      </c>
    </row>
    <row r="127" spans="1:8" ht="35.25">
      <c r="A127" s="45" t="s">
        <v>561</v>
      </c>
      <c r="B127" s="46" t="s">
        <v>301</v>
      </c>
      <c r="C127" s="46" t="s">
        <v>11</v>
      </c>
      <c r="D127" s="103">
        <v>45988</v>
      </c>
      <c r="E127" s="46">
        <v>159000</v>
      </c>
      <c r="F127" s="46">
        <v>89380</v>
      </c>
      <c r="G127" s="29">
        <v>69620</v>
      </c>
      <c r="H127" s="46">
        <v>3</v>
      </c>
    </row>
    <row r="128" spans="1:8" ht="35.25">
      <c r="A128" s="45" t="s">
        <v>562</v>
      </c>
      <c r="B128" s="46" t="s">
        <v>400</v>
      </c>
      <c r="C128" s="46" t="s">
        <v>12</v>
      </c>
      <c r="D128" s="103">
        <v>46002</v>
      </c>
      <c r="E128" s="46">
        <v>157430</v>
      </c>
      <c r="F128" s="46">
        <v>130700</v>
      </c>
      <c r="G128" s="29">
        <v>26730</v>
      </c>
      <c r="H128" s="46">
        <v>3</v>
      </c>
    </row>
    <row r="129" spans="1:8" ht="35.25">
      <c r="A129" s="45" t="s">
        <v>563</v>
      </c>
      <c r="B129" s="46" t="s">
        <v>259</v>
      </c>
      <c r="C129" s="46" t="s">
        <v>12</v>
      </c>
      <c r="D129" s="103">
        <v>46016</v>
      </c>
      <c r="E129" s="46">
        <v>153930</v>
      </c>
      <c r="F129" s="46">
        <v>140900</v>
      </c>
      <c r="G129" s="29">
        <v>13030</v>
      </c>
      <c r="H129" s="46">
        <v>0</v>
      </c>
    </row>
    <row r="130" spans="1:8" ht="35.25">
      <c r="A130" s="45" t="s">
        <v>564</v>
      </c>
      <c r="B130" s="46" t="s">
        <v>419</v>
      </c>
      <c r="C130" s="46" t="s">
        <v>4</v>
      </c>
      <c r="D130" s="103">
        <v>45973</v>
      </c>
      <c r="E130" s="46">
        <v>149000</v>
      </c>
      <c r="F130" s="46">
        <v>100000</v>
      </c>
      <c r="G130" s="29">
        <v>49000</v>
      </c>
      <c r="H130" s="46">
        <v>4</v>
      </c>
    </row>
    <row r="131" spans="1:8" ht="35.25">
      <c r="A131" s="45" t="s">
        <v>565</v>
      </c>
      <c r="B131" s="46" t="s">
        <v>451</v>
      </c>
      <c r="C131" s="46" t="s">
        <v>5</v>
      </c>
      <c r="D131" s="103">
        <v>46035</v>
      </c>
      <c r="E131" s="46">
        <v>147000</v>
      </c>
      <c r="F131" s="46">
        <v>50000</v>
      </c>
      <c r="G131" s="29">
        <v>97000</v>
      </c>
      <c r="H131" s="46">
        <v>4</v>
      </c>
    </row>
    <row r="132" spans="1:8" ht="35.25">
      <c r="A132" s="45" t="s">
        <v>566</v>
      </c>
      <c r="B132" s="46" t="s">
        <v>451</v>
      </c>
      <c r="C132" s="46" t="s">
        <v>4</v>
      </c>
      <c r="D132" s="103">
        <v>45977</v>
      </c>
      <c r="E132" s="46">
        <v>140000</v>
      </c>
      <c r="F132" s="46">
        <v>40000</v>
      </c>
      <c r="G132" s="29">
        <v>100000</v>
      </c>
      <c r="H132" s="46">
        <v>0</v>
      </c>
    </row>
    <row r="133" spans="1:8" ht="35.25">
      <c r="A133" s="45" t="s">
        <v>567</v>
      </c>
      <c r="B133" s="46" t="s">
        <v>451</v>
      </c>
      <c r="C133" s="46" t="s">
        <v>12</v>
      </c>
      <c r="D133" s="103">
        <v>46001</v>
      </c>
      <c r="E133" s="46">
        <v>138860</v>
      </c>
      <c r="F133" s="46">
        <v>126390</v>
      </c>
      <c r="G133" s="29">
        <v>12470</v>
      </c>
      <c r="H133" s="46">
        <v>7</v>
      </c>
    </row>
    <row r="134" spans="1:8" ht="35.25">
      <c r="A134" s="45" t="s">
        <v>568</v>
      </c>
      <c r="B134" s="46" t="s">
        <v>372</v>
      </c>
      <c r="C134" s="46" t="s">
        <v>8</v>
      </c>
      <c r="D134" s="103">
        <v>46093</v>
      </c>
      <c r="E134" s="46">
        <v>129010</v>
      </c>
      <c r="F134" s="46">
        <v>40000</v>
      </c>
      <c r="G134" s="29">
        <v>89010</v>
      </c>
      <c r="H134" s="46">
        <v>2</v>
      </c>
    </row>
    <row r="135" spans="1:8" ht="35.25">
      <c r="A135" s="45" t="s">
        <v>569</v>
      </c>
      <c r="B135" s="46" t="s">
        <v>400</v>
      </c>
      <c r="C135" s="46" t="s">
        <v>11</v>
      </c>
      <c r="D135" s="103">
        <v>45982</v>
      </c>
      <c r="E135" s="46">
        <v>129000</v>
      </c>
      <c r="F135" s="46">
        <v>120000</v>
      </c>
      <c r="G135" s="29">
        <v>9000</v>
      </c>
      <c r="H135" s="46">
        <v>6</v>
      </c>
    </row>
    <row r="136" spans="1:8" ht="35.25">
      <c r="A136" s="45" t="s">
        <v>570</v>
      </c>
      <c r="B136" s="46" t="s">
        <v>372</v>
      </c>
      <c r="C136" s="46" t="s">
        <v>9</v>
      </c>
      <c r="D136" s="103">
        <v>46106</v>
      </c>
      <c r="E136" s="46">
        <v>126530</v>
      </c>
      <c r="F136" s="46">
        <v>98930</v>
      </c>
      <c r="G136" s="29">
        <v>27600</v>
      </c>
      <c r="H136" s="46">
        <v>6</v>
      </c>
    </row>
    <row r="137" spans="1:8" ht="35.25">
      <c r="A137" s="45" t="s">
        <v>571</v>
      </c>
      <c r="B137" s="46" t="s">
        <v>451</v>
      </c>
      <c r="C137" s="46" t="s">
        <v>12</v>
      </c>
      <c r="D137" s="103">
        <v>46011</v>
      </c>
      <c r="E137" s="46">
        <v>122570</v>
      </c>
      <c r="F137" s="46">
        <v>95070</v>
      </c>
      <c r="G137" s="29">
        <v>27500</v>
      </c>
      <c r="H137" s="46">
        <v>0</v>
      </c>
    </row>
    <row r="138" spans="1:8" ht="35.25">
      <c r="A138" s="45" t="s">
        <v>572</v>
      </c>
      <c r="B138" s="46" t="s">
        <v>301</v>
      </c>
      <c r="C138" s="46" t="s">
        <v>12</v>
      </c>
      <c r="D138" s="103">
        <v>45998</v>
      </c>
      <c r="E138" s="46">
        <v>118000</v>
      </c>
      <c r="F138" s="46">
        <v>100000</v>
      </c>
      <c r="G138" s="29">
        <v>18000</v>
      </c>
      <c r="H138" s="46">
        <v>1</v>
      </c>
    </row>
    <row r="139" spans="1:8" ht="35.25">
      <c r="A139" s="45" t="s">
        <v>573</v>
      </c>
      <c r="B139" s="46" t="s">
        <v>259</v>
      </c>
      <c r="C139" s="46" t="s">
        <v>12</v>
      </c>
      <c r="D139" s="103">
        <v>46013</v>
      </c>
      <c r="E139" s="46">
        <v>104700</v>
      </c>
      <c r="F139" s="46">
        <v>91230</v>
      </c>
      <c r="G139" s="29">
        <v>13470</v>
      </c>
      <c r="H139" s="46">
        <v>0</v>
      </c>
    </row>
    <row r="140" spans="1:8" ht="35.25">
      <c r="A140" s="45" t="s">
        <v>574</v>
      </c>
      <c r="B140" s="46" t="s">
        <v>451</v>
      </c>
      <c r="C140" s="46" t="s">
        <v>6</v>
      </c>
      <c r="D140" s="103">
        <v>46068</v>
      </c>
      <c r="E140" s="46">
        <v>97890</v>
      </c>
      <c r="F140" s="46">
        <v>15000</v>
      </c>
      <c r="G140" s="29">
        <v>82890</v>
      </c>
      <c r="H140" s="46">
        <v>0</v>
      </c>
    </row>
    <row r="141" spans="1:8" ht="58.5">
      <c r="A141" s="45" t="s">
        <v>575</v>
      </c>
      <c r="B141" s="46" t="s">
        <v>400</v>
      </c>
      <c r="C141" s="46" t="s">
        <v>5</v>
      </c>
      <c r="D141" s="103">
        <v>46041</v>
      </c>
      <c r="E141" s="46">
        <v>87000</v>
      </c>
      <c r="F141" s="46">
        <v>10000</v>
      </c>
      <c r="G141" s="29">
        <v>77000</v>
      </c>
      <c r="H141" s="46">
        <v>7</v>
      </c>
    </row>
    <row r="142" spans="1:8" ht="35.25">
      <c r="A142" s="45" t="s">
        <v>576</v>
      </c>
      <c r="B142" s="46" t="s">
        <v>259</v>
      </c>
      <c r="C142" s="46" t="s">
        <v>8</v>
      </c>
      <c r="D142" s="103">
        <v>46098</v>
      </c>
      <c r="E142" s="46">
        <v>79800</v>
      </c>
      <c r="F142" s="46">
        <v>6700</v>
      </c>
      <c r="G142" s="29">
        <v>73100</v>
      </c>
      <c r="H142" s="46">
        <v>1</v>
      </c>
    </row>
    <row r="143" spans="1:8" ht="35.25">
      <c r="A143" s="45" t="s">
        <v>577</v>
      </c>
      <c r="B143" s="46" t="s">
        <v>259</v>
      </c>
      <c r="C143" s="46" t="s">
        <v>7</v>
      </c>
      <c r="D143" s="103">
        <v>45995</v>
      </c>
      <c r="E143" s="46">
        <v>79700</v>
      </c>
      <c r="F143" s="46">
        <v>60000</v>
      </c>
      <c r="G143" s="29">
        <v>19700</v>
      </c>
      <c r="H143" s="46">
        <v>4</v>
      </c>
    </row>
    <row r="144" spans="1:8" ht="35.25">
      <c r="A144" s="45" t="s">
        <v>578</v>
      </c>
      <c r="B144" s="46" t="s">
        <v>301</v>
      </c>
      <c r="C144" s="46" t="s">
        <v>7</v>
      </c>
      <c r="D144" s="103">
        <v>46005</v>
      </c>
      <c r="E144" s="46">
        <v>78790</v>
      </c>
      <c r="F144" s="46">
        <v>24000</v>
      </c>
      <c r="G144" s="29">
        <v>54790</v>
      </c>
      <c r="H144" s="46">
        <v>4</v>
      </c>
    </row>
    <row r="145" spans="1:8" ht="35.25">
      <c r="A145" s="45" t="s">
        <v>579</v>
      </c>
      <c r="B145" s="46" t="s">
        <v>372</v>
      </c>
      <c r="C145" s="46" t="s">
        <v>8</v>
      </c>
      <c r="D145" s="103">
        <v>46100</v>
      </c>
      <c r="E145" s="46">
        <v>75970</v>
      </c>
      <c r="F145" s="46">
        <v>73100</v>
      </c>
      <c r="G145" s="29">
        <v>2870</v>
      </c>
      <c r="H145" s="46">
        <v>7</v>
      </c>
    </row>
    <row r="146" spans="1:8" ht="35.25">
      <c r="A146" s="45" t="s">
        <v>580</v>
      </c>
      <c r="B146" s="46" t="s">
        <v>440</v>
      </c>
      <c r="C146" s="46" t="s">
        <v>8</v>
      </c>
      <c r="D146" s="103">
        <v>46089</v>
      </c>
      <c r="E146" s="46">
        <v>75640</v>
      </c>
      <c r="F146" s="46">
        <v>25000</v>
      </c>
      <c r="G146" s="29">
        <v>50640</v>
      </c>
      <c r="H146" s="46">
        <v>7</v>
      </c>
    </row>
    <row r="147" spans="1:8" ht="35.25">
      <c r="A147" s="45" t="s">
        <v>581</v>
      </c>
      <c r="B147" s="46" t="s">
        <v>301</v>
      </c>
      <c r="C147" s="46" t="s">
        <v>5</v>
      </c>
      <c r="D147" s="103">
        <v>46029</v>
      </c>
      <c r="E147" s="46">
        <v>70000</v>
      </c>
      <c r="F147" s="46">
        <v>21000</v>
      </c>
      <c r="G147" s="29">
        <v>49000</v>
      </c>
      <c r="H147" s="46">
        <v>6</v>
      </c>
    </row>
    <row r="148" spans="1:8" ht="35.25">
      <c r="A148" s="45" t="s">
        <v>582</v>
      </c>
      <c r="B148" s="46" t="s">
        <v>372</v>
      </c>
      <c r="C148" s="46" t="s">
        <v>12</v>
      </c>
      <c r="D148" s="103">
        <v>46024</v>
      </c>
      <c r="E148" s="46">
        <v>69540</v>
      </c>
      <c r="F148" s="46">
        <v>20000</v>
      </c>
      <c r="G148" s="29">
        <v>49540</v>
      </c>
      <c r="H148" s="46">
        <v>3</v>
      </c>
    </row>
    <row r="149" spans="1:8" ht="35.25">
      <c r="A149" s="45" t="s">
        <v>583</v>
      </c>
      <c r="B149" s="46" t="s">
        <v>372</v>
      </c>
      <c r="C149" s="46" t="s">
        <v>6</v>
      </c>
      <c r="D149" s="103">
        <v>46079</v>
      </c>
      <c r="E149" s="46">
        <v>67680</v>
      </c>
      <c r="F149" s="46">
        <v>9000</v>
      </c>
      <c r="G149" s="29">
        <v>58680</v>
      </c>
      <c r="H149" s="46">
        <v>0</v>
      </c>
    </row>
    <row r="150" spans="1:8" ht="35.25">
      <c r="A150" s="45" t="s">
        <v>584</v>
      </c>
      <c r="B150" s="46" t="s">
        <v>451</v>
      </c>
      <c r="C150" s="46" t="s">
        <v>7</v>
      </c>
      <c r="D150" s="103">
        <v>46007</v>
      </c>
      <c r="E150" s="46">
        <v>67000</v>
      </c>
      <c r="F150" s="46">
        <v>50000</v>
      </c>
      <c r="G150" s="29">
        <v>17000</v>
      </c>
      <c r="H150" s="46">
        <v>2</v>
      </c>
    </row>
    <row r="151" spans="1:8" ht="35.25">
      <c r="A151" s="45" t="s">
        <v>585</v>
      </c>
      <c r="B151" s="46" t="s">
        <v>440</v>
      </c>
      <c r="C151" s="46" t="s">
        <v>11</v>
      </c>
      <c r="D151" s="103">
        <v>46028</v>
      </c>
      <c r="E151" s="46">
        <v>67000</v>
      </c>
      <c r="F151" s="46">
        <v>15000</v>
      </c>
      <c r="G151" s="29">
        <v>52000</v>
      </c>
      <c r="H151" s="46">
        <v>7</v>
      </c>
    </row>
    <row r="152" spans="1:8" ht="35.25">
      <c r="A152" s="45" t="s">
        <v>586</v>
      </c>
      <c r="B152" s="46" t="s">
        <v>440</v>
      </c>
      <c r="C152" s="46" t="s">
        <v>11</v>
      </c>
      <c r="D152" s="103">
        <v>46014</v>
      </c>
      <c r="E152" s="46">
        <v>65670</v>
      </c>
      <c r="F152" s="46">
        <v>24000</v>
      </c>
      <c r="G152" s="29">
        <v>41670</v>
      </c>
      <c r="H152" s="46">
        <v>1</v>
      </c>
    </row>
    <row r="153" spans="1:8" ht="35.25">
      <c r="A153" s="45" t="s">
        <v>587</v>
      </c>
      <c r="B153" s="46" t="s">
        <v>265</v>
      </c>
      <c r="C153" s="46" t="s">
        <v>7</v>
      </c>
      <c r="D153" s="103">
        <v>45971</v>
      </c>
      <c r="E153" s="46">
        <v>65670</v>
      </c>
      <c r="F153" s="46">
        <v>37000</v>
      </c>
      <c r="G153" s="29">
        <v>28670</v>
      </c>
      <c r="H153" s="46">
        <v>6</v>
      </c>
    </row>
    <row r="154" spans="1:8" ht="35.25">
      <c r="A154" s="45" t="s">
        <v>588</v>
      </c>
      <c r="B154" s="46" t="s">
        <v>433</v>
      </c>
      <c r="C154" s="46" t="s">
        <v>11</v>
      </c>
      <c r="D154" s="103">
        <v>46020</v>
      </c>
      <c r="E154" s="46">
        <v>65660</v>
      </c>
      <c r="F154" s="46">
        <v>10000</v>
      </c>
      <c r="G154" s="29">
        <v>55660</v>
      </c>
      <c r="H154" s="46">
        <v>4</v>
      </c>
    </row>
    <row r="155" spans="1:8" ht="35.25">
      <c r="A155" s="45" t="s">
        <v>589</v>
      </c>
      <c r="B155" s="46" t="s">
        <v>301</v>
      </c>
      <c r="C155" s="46" t="s">
        <v>11</v>
      </c>
      <c r="D155" s="103">
        <v>45996</v>
      </c>
      <c r="E155" s="46">
        <v>65470</v>
      </c>
      <c r="F155" s="46">
        <v>10000</v>
      </c>
      <c r="G155" s="29">
        <v>55470</v>
      </c>
      <c r="H155" s="46">
        <v>7</v>
      </c>
    </row>
    <row r="156" spans="1:8" ht="35.25">
      <c r="A156" s="45" t="s">
        <v>590</v>
      </c>
      <c r="B156" s="46" t="s">
        <v>433</v>
      </c>
      <c r="C156" s="46" t="s">
        <v>5</v>
      </c>
      <c r="D156" s="103">
        <v>46032</v>
      </c>
      <c r="E156" s="46">
        <v>65000</v>
      </c>
      <c r="F156" s="46">
        <v>50000</v>
      </c>
      <c r="G156" s="29">
        <v>15000</v>
      </c>
      <c r="H156" s="46">
        <v>7</v>
      </c>
    </row>
    <row r="157" spans="1:8" ht="35.25">
      <c r="A157" s="45" t="s">
        <v>591</v>
      </c>
      <c r="B157" s="46" t="s">
        <v>433</v>
      </c>
      <c r="C157" s="46" t="s">
        <v>11</v>
      </c>
      <c r="D157" s="103">
        <v>46024</v>
      </c>
      <c r="E157" s="46">
        <v>60000</v>
      </c>
      <c r="F157" s="46">
        <v>10000</v>
      </c>
      <c r="G157" s="29">
        <v>50000</v>
      </c>
      <c r="H157" s="46">
        <v>2</v>
      </c>
    </row>
    <row r="158" spans="1:8" ht="35.25">
      <c r="A158" s="45" t="s">
        <v>592</v>
      </c>
      <c r="B158" s="46" t="s">
        <v>451</v>
      </c>
      <c r="C158" s="46" t="s">
        <v>8</v>
      </c>
      <c r="D158" s="103">
        <v>46094</v>
      </c>
      <c r="E158" s="46">
        <v>56660</v>
      </c>
      <c r="F158" s="46">
        <v>50000</v>
      </c>
      <c r="G158" s="29">
        <v>6660</v>
      </c>
      <c r="H158" s="46">
        <v>0</v>
      </c>
    </row>
    <row r="159" spans="1:8" ht="35.25">
      <c r="A159" s="45" t="s">
        <v>593</v>
      </c>
      <c r="B159" s="46" t="s">
        <v>259</v>
      </c>
      <c r="C159" s="46" t="s">
        <v>6</v>
      </c>
      <c r="D159" s="103">
        <v>46072</v>
      </c>
      <c r="E159" s="46">
        <v>56580</v>
      </c>
      <c r="F159" s="46">
        <v>3000</v>
      </c>
      <c r="G159" s="29">
        <v>53580</v>
      </c>
      <c r="H159" s="46">
        <v>0</v>
      </c>
    </row>
    <row r="160" spans="1:8" ht="35.25">
      <c r="A160" s="45" t="s">
        <v>594</v>
      </c>
      <c r="B160" s="46" t="s">
        <v>440</v>
      </c>
      <c r="C160" s="46" t="s">
        <v>8</v>
      </c>
      <c r="D160" s="103">
        <v>46086</v>
      </c>
      <c r="E160" s="46">
        <v>53790</v>
      </c>
      <c r="F160" s="46">
        <v>7600</v>
      </c>
      <c r="G160" s="29">
        <v>46190</v>
      </c>
      <c r="H160" s="46">
        <v>7</v>
      </c>
    </row>
    <row r="161" spans="1:8" ht="35.25">
      <c r="A161" s="45" t="s">
        <v>595</v>
      </c>
      <c r="B161" s="46" t="s">
        <v>419</v>
      </c>
      <c r="C161" s="46" t="s">
        <v>8</v>
      </c>
      <c r="D161" s="103">
        <v>46101</v>
      </c>
      <c r="E161" s="46">
        <v>45090</v>
      </c>
      <c r="F161" s="46">
        <v>19000</v>
      </c>
      <c r="G161" s="29">
        <v>26090</v>
      </c>
      <c r="H161" s="46">
        <v>4</v>
      </c>
    </row>
    <row r="162" spans="1:8" ht="35.25">
      <c r="A162" s="45" t="s">
        <v>596</v>
      </c>
      <c r="B162" s="46" t="s">
        <v>451</v>
      </c>
      <c r="C162" s="46" t="s">
        <v>8</v>
      </c>
      <c r="D162" s="103">
        <v>46103</v>
      </c>
      <c r="E162" s="46">
        <v>45000</v>
      </c>
      <c r="F162" s="46">
        <v>8710</v>
      </c>
      <c r="G162" s="29">
        <v>36290</v>
      </c>
      <c r="H162" s="46">
        <v>2</v>
      </c>
    </row>
    <row r="163" spans="1:8" ht="35.25">
      <c r="A163" s="45" t="s">
        <v>597</v>
      </c>
      <c r="B163" s="46" t="s">
        <v>259</v>
      </c>
      <c r="C163" s="46" t="s">
        <v>7</v>
      </c>
      <c r="D163" s="103">
        <v>46029</v>
      </c>
      <c r="E163" s="46">
        <v>38700</v>
      </c>
      <c r="F163" s="46">
        <v>18500</v>
      </c>
      <c r="G163" s="29">
        <v>20200</v>
      </c>
      <c r="H163" s="46">
        <v>1</v>
      </c>
    </row>
    <row r="164" spans="1:8" ht="35.25">
      <c r="A164" s="45" t="s">
        <v>598</v>
      </c>
      <c r="B164" s="46" t="s">
        <v>440</v>
      </c>
      <c r="C164" s="46" t="s">
        <v>5</v>
      </c>
      <c r="D164" s="103">
        <v>46025</v>
      </c>
      <c r="E164" s="46">
        <v>24470</v>
      </c>
      <c r="F164" s="46">
        <v>21320</v>
      </c>
      <c r="G164" s="29">
        <v>3150</v>
      </c>
      <c r="H164" s="46">
        <v>0</v>
      </c>
    </row>
    <row r="165" spans="1:8" ht="35.25">
      <c r="A165" s="45" t="s">
        <v>599</v>
      </c>
      <c r="B165" s="46" t="s">
        <v>400</v>
      </c>
      <c r="C165" s="46" t="s">
        <v>12</v>
      </c>
      <c r="D165" s="103">
        <v>45997</v>
      </c>
      <c r="E165" s="46">
        <v>22800</v>
      </c>
      <c r="F165" s="46">
        <v>22200</v>
      </c>
      <c r="G165" s="29">
        <v>600</v>
      </c>
      <c r="H165" s="46">
        <v>7</v>
      </c>
    </row>
    <row r="166" spans="1:8" ht="35.25">
      <c r="A166" s="45" t="s">
        <v>600</v>
      </c>
      <c r="B166" s="46" t="s">
        <v>451</v>
      </c>
      <c r="C166" s="46" t="s">
        <v>5</v>
      </c>
      <c r="D166" s="103">
        <v>46038</v>
      </c>
      <c r="E166" s="46">
        <v>22660</v>
      </c>
      <c r="F166" s="46">
        <v>20000</v>
      </c>
      <c r="G166" s="29">
        <v>2660</v>
      </c>
      <c r="H166" s="46">
        <v>6</v>
      </c>
    </row>
    <row r="167" spans="1:8" ht="35.25">
      <c r="A167" s="45" t="s">
        <v>601</v>
      </c>
      <c r="B167" s="46" t="s">
        <v>265</v>
      </c>
      <c r="C167" s="46" t="s">
        <v>12</v>
      </c>
      <c r="D167" s="103">
        <v>46022</v>
      </c>
      <c r="E167" s="46">
        <v>22480</v>
      </c>
      <c r="F167" s="46">
        <v>19720</v>
      </c>
      <c r="G167" s="29">
        <v>2760</v>
      </c>
      <c r="H167" s="46">
        <v>6</v>
      </c>
    </row>
    <row r="168" spans="1:8" ht="58.5">
      <c r="A168" s="45" t="s">
        <v>602</v>
      </c>
      <c r="B168" s="46" t="s">
        <v>440</v>
      </c>
      <c r="C168" s="46" t="s">
        <v>5</v>
      </c>
      <c r="D168" s="103">
        <v>46039</v>
      </c>
      <c r="E168" s="46">
        <v>20800</v>
      </c>
      <c r="F168" s="46">
        <v>8000</v>
      </c>
      <c r="G168" s="29">
        <v>12800</v>
      </c>
      <c r="H168" s="46">
        <v>7</v>
      </c>
    </row>
    <row r="169" spans="1:8" ht="35.25">
      <c r="A169" s="45" t="s">
        <v>603</v>
      </c>
      <c r="B169" s="46" t="s">
        <v>440</v>
      </c>
      <c r="C169" s="46" t="s">
        <v>11</v>
      </c>
      <c r="D169" s="103">
        <v>46031</v>
      </c>
      <c r="E169" s="46">
        <v>20220</v>
      </c>
      <c r="F169" s="46">
        <v>16750</v>
      </c>
      <c r="G169" s="29">
        <v>3470</v>
      </c>
      <c r="H169" s="46">
        <v>0</v>
      </c>
    </row>
    <row r="170" spans="1:8" ht="35.25">
      <c r="A170" s="45" t="s">
        <v>604</v>
      </c>
      <c r="B170" s="46" t="s">
        <v>453</v>
      </c>
      <c r="C170" s="46" t="s">
        <v>12</v>
      </c>
      <c r="D170" s="103">
        <v>46007</v>
      </c>
      <c r="E170" s="46">
        <v>19960</v>
      </c>
      <c r="F170" s="46">
        <v>18140</v>
      </c>
      <c r="G170" s="29">
        <v>1820</v>
      </c>
      <c r="H170" s="46">
        <v>7</v>
      </c>
    </row>
    <row r="171" spans="1:8" ht="35.25">
      <c r="A171" s="45" t="s">
        <v>605</v>
      </c>
      <c r="B171" s="46" t="s">
        <v>453</v>
      </c>
      <c r="C171" s="46" t="s">
        <v>4</v>
      </c>
      <c r="D171" s="103">
        <v>46045</v>
      </c>
      <c r="E171" s="46">
        <v>19720</v>
      </c>
      <c r="F171" s="46">
        <v>16860</v>
      </c>
      <c r="G171" s="29">
        <v>2860</v>
      </c>
      <c r="H171" s="46">
        <v>2</v>
      </c>
    </row>
    <row r="172" spans="1:8" ht="35.25">
      <c r="A172" s="45" t="s">
        <v>606</v>
      </c>
      <c r="B172" s="46" t="s">
        <v>419</v>
      </c>
      <c r="C172" s="46" t="s">
        <v>6</v>
      </c>
      <c r="D172" s="103">
        <v>46067</v>
      </c>
      <c r="E172" s="46">
        <v>19540</v>
      </c>
      <c r="F172" s="46">
        <v>16000</v>
      </c>
      <c r="G172" s="29">
        <v>3540</v>
      </c>
      <c r="H172" s="46">
        <v>5</v>
      </c>
    </row>
    <row r="173" spans="1:8" ht="35.25">
      <c r="A173" s="45" t="s">
        <v>607</v>
      </c>
      <c r="B173" s="46" t="s">
        <v>440</v>
      </c>
      <c r="C173" s="46" t="s">
        <v>5</v>
      </c>
      <c r="D173" s="103">
        <v>46026</v>
      </c>
      <c r="E173" s="46">
        <v>19270</v>
      </c>
      <c r="F173" s="46">
        <v>15850</v>
      </c>
      <c r="G173" s="29">
        <v>3420</v>
      </c>
      <c r="H173" s="46">
        <v>6</v>
      </c>
    </row>
    <row r="174" spans="1:8" ht="35.25">
      <c r="A174" s="45" t="s">
        <v>608</v>
      </c>
      <c r="B174" s="46" t="s">
        <v>451</v>
      </c>
      <c r="C174" s="46" t="s">
        <v>4</v>
      </c>
      <c r="D174" s="103">
        <v>46008</v>
      </c>
      <c r="E174" s="46">
        <v>18820</v>
      </c>
      <c r="F174" s="46">
        <v>2800</v>
      </c>
      <c r="G174" s="29">
        <v>16020</v>
      </c>
      <c r="H174" s="46">
        <v>1</v>
      </c>
    </row>
    <row r="175" spans="1:8" ht="58.5">
      <c r="A175" s="45" t="s">
        <v>609</v>
      </c>
      <c r="B175" s="46" t="s">
        <v>400</v>
      </c>
      <c r="C175" s="46" t="s">
        <v>5</v>
      </c>
      <c r="D175" s="103">
        <v>46051</v>
      </c>
      <c r="E175" s="46">
        <v>18000</v>
      </c>
      <c r="F175" s="46">
        <v>6000</v>
      </c>
      <c r="G175" s="29">
        <v>12000</v>
      </c>
      <c r="H175" s="46">
        <v>1</v>
      </c>
    </row>
    <row r="176" spans="1:8" ht="35.25">
      <c r="A176" s="45" t="s">
        <v>610</v>
      </c>
      <c r="B176" s="46" t="s">
        <v>451</v>
      </c>
      <c r="C176" s="46" t="s">
        <v>5</v>
      </c>
      <c r="D176" s="103">
        <v>46049</v>
      </c>
      <c r="E176" s="46">
        <v>17830</v>
      </c>
      <c r="F176" s="46">
        <v>13930</v>
      </c>
      <c r="G176" s="29">
        <v>3900</v>
      </c>
      <c r="H176" s="46">
        <v>0</v>
      </c>
    </row>
    <row r="177" spans="1:8" ht="35.25">
      <c r="A177" s="45" t="s">
        <v>611</v>
      </c>
      <c r="B177" s="46" t="s">
        <v>433</v>
      </c>
      <c r="C177" s="46" t="s">
        <v>6</v>
      </c>
      <c r="D177" s="103">
        <v>46063</v>
      </c>
      <c r="E177" s="46">
        <v>16830</v>
      </c>
      <c r="F177" s="46">
        <v>12000</v>
      </c>
      <c r="G177" s="29">
        <v>4830</v>
      </c>
      <c r="H177" s="46">
        <v>6</v>
      </c>
    </row>
    <row r="178" spans="1:8" ht="35.25">
      <c r="A178" s="45" t="s">
        <v>612</v>
      </c>
      <c r="B178" s="46" t="s">
        <v>259</v>
      </c>
      <c r="C178" s="46" t="s">
        <v>6</v>
      </c>
      <c r="D178" s="103">
        <v>46062</v>
      </c>
      <c r="E178" s="46">
        <v>15600</v>
      </c>
      <c r="F178" s="46">
        <v>12500</v>
      </c>
      <c r="G178" s="29">
        <v>3100</v>
      </c>
      <c r="H178" s="46">
        <v>2</v>
      </c>
    </row>
    <row r="179" spans="1:8" ht="35.25">
      <c r="A179" s="45" t="s">
        <v>613</v>
      </c>
      <c r="B179" s="46" t="s">
        <v>419</v>
      </c>
      <c r="C179" s="46" t="s">
        <v>6</v>
      </c>
      <c r="D179" s="103">
        <v>46082</v>
      </c>
      <c r="E179" s="46">
        <v>15190</v>
      </c>
      <c r="F179" s="46">
        <v>10000</v>
      </c>
      <c r="G179" s="29">
        <v>5190</v>
      </c>
      <c r="H179" s="46">
        <v>3</v>
      </c>
    </row>
    <row r="180" spans="1:8" ht="35.25">
      <c r="A180" s="45" t="s">
        <v>614</v>
      </c>
      <c r="B180" s="46" t="s">
        <v>372</v>
      </c>
      <c r="C180" s="46" t="s">
        <v>6</v>
      </c>
      <c r="D180" s="103">
        <v>46080</v>
      </c>
      <c r="E180" s="46">
        <v>15000</v>
      </c>
      <c r="F180" s="46">
        <v>12000</v>
      </c>
      <c r="G180" s="29">
        <v>3000</v>
      </c>
      <c r="H180" s="46">
        <v>4</v>
      </c>
    </row>
    <row r="181" spans="1:8" ht="35.25">
      <c r="A181" s="45" t="s">
        <v>615</v>
      </c>
      <c r="B181" s="46" t="s">
        <v>400</v>
      </c>
      <c r="C181" s="46" t="s">
        <v>8</v>
      </c>
      <c r="D181" s="103">
        <v>46095</v>
      </c>
      <c r="E181" s="46">
        <v>14670</v>
      </c>
      <c r="F181" s="46">
        <v>10000</v>
      </c>
      <c r="G181" s="29">
        <v>4670</v>
      </c>
      <c r="H181" s="46">
        <v>4</v>
      </c>
    </row>
    <row r="182" spans="1:8" ht="35.25">
      <c r="A182" s="45" t="s">
        <v>616</v>
      </c>
      <c r="B182" s="46" t="s">
        <v>419</v>
      </c>
      <c r="C182" s="46" t="s">
        <v>5</v>
      </c>
      <c r="D182" s="103">
        <v>46037</v>
      </c>
      <c r="E182" s="46">
        <v>14310</v>
      </c>
      <c r="F182" s="46">
        <v>12620</v>
      </c>
      <c r="G182" s="29">
        <v>1690</v>
      </c>
      <c r="H182" s="46">
        <v>4</v>
      </c>
    </row>
    <row r="183" spans="1:8" ht="35.25">
      <c r="A183" s="45" t="s">
        <v>617</v>
      </c>
      <c r="B183" s="46" t="s">
        <v>400</v>
      </c>
      <c r="C183" s="46" t="s">
        <v>7</v>
      </c>
      <c r="D183" s="103">
        <v>45980</v>
      </c>
      <c r="E183" s="46">
        <v>14020</v>
      </c>
      <c r="F183" s="46">
        <v>14000</v>
      </c>
      <c r="G183" s="29">
        <v>20</v>
      </c>
      <c r="H183" s="46">
        <v>6</v>
      </c>
    </row>
    <row r="184" spans="1:8" ht="35.25">
      <c r="A184" s="45" t="s">
        <v>618</v>
      </c>
      <c r="B184" s="46" t="s">
        <v>301</v>
      </c>
      <c r="C184" s="46" t="s">
        <v>11</v>
      </c>
      <c r="D184" s="103">
        <v>46044</v>
      </c>
      <c r="E184" s="46">
        <v>13500</v>
      </c>
      <c r="F184" s="46">
        <v>13500</v>
      </c>
      <c r="G184" s="29">
        <v>0</v>
      </c>
      <c r="H184" s="46">
        <v>5</v>
      </c>
    </row>
    <row r="185" spans="1:8" ht="35.25">
      <c r="A185" s="45" t="s">
        <v>619</v>
      </c>
      <c r="B185" s="46" t="s">
        <v>400</v>
      </c>
      <c r="C185" s="46" t="s">
        <v>7</v>
      </c>
      <c r="D185" s="103">
        <v>45998</v>
      </c>
      <c r="E185" s="46">
        <v>12980</v>
      </c>
      <c r="F185" s="46">
        <v>2800</v>
      </c>
      <c r="G185" s="29">
        <v>10180</v>
      </c>
      <c r="H185" s="46">
        <v>6</v>
      </c>
    </row>
    <row r="186" spans="1:8" ht="35.25">
      <c r="A186" s="45" t="s">
        <v>620</v>
      </c>
      <c r="B186" s="46" t="s">
        <v>433</v>
      </c>
      <c r="C186" s="46" t="s">
        <v>7</v>
      </c>
      <c r="D186" s="103">
        <v>45962</v>
      </c>
      <c r="E186" s="46">
        <v>12890</v>
      </c>
      <c r="F186" s="46">
        <v>2600</v>
      </c>
      <c r="G186" s="29">
        <v>10290</v>
      </c>
      <c r="H186" s="46">
        <v>4</v>
      </c>
    </row>
    <row r="187" spans="1:8" ht="58.5">
      <c r="A187" s="45" t="s">
        <v>621</v>
      </c>
      <c r="B187" s="46" t="s">
        <v>372</v>
      </c>
      <c r="C187" s="46" t="s">
        <v>6</v>
      </c>
      <c r="D187" s="103">
        <v>46078</v>
      </c>
      <c r="E187" s="46">
        <v>12800</v>
      </c>
      <c r="F187" s="46">
        <v>8000</v>
      </c>
      <c r="G187" s="29">
        <v>4800</v>
      </c>
      <c r="H187" s="46">
        <v>4</v>
      </c>
    </row>
    <row r="188" spans="1:8" ht="35.25">
      <c r="A188" s="45" t="s">
        <v>622</v>
      </c>
      <c r="B188" s="46" t="s">
        <v>301</v>
      </c>
      <c r="C188" s="46" t="s">
        <v>8</v>
      </c>
      <c r="D188" s="103">
        <v>46087</v>
      </c>
      <c r="E188" s="46">
        <v>12750</v>
      </c>
      <c r="F188" s="46">
        <v>5000</v>
      </c>
      <c r="G188" s="29">
        <v>7750</v>
      </c>
      <c r="H188" s="46">
        <v>7</v>
      </c>
    </row>
    <row r="189" spans="1:8" ht="35.25">
      <c r="A189" s="45" t="s">
        <v>623</v>
      </c>
      <c r="B189" s="46" t="s">
        <v>372</v>
      </c>
      <c r="C189" s="46" t="s">
        <v>12</v>
      </c>
      <c r="D189" s="103">
        <v>46021</v>
      </c>
      <c r="E189" s="46">
        <v>12570</v>
      </c>
      <c r="F189" s="46">
        <v>10000</v>
      </c>
      <c r="G189" s="29">
        <v>2570</v>
      </c>
      <c r="H189" s="46">
        <v>4</v>
      </c>
    </row>
    <row r="190" spans="1:8" ht="35.25">
      <c r="A190" s="45" t="s">
        <v>624</v>
      </c>
      <c r="B190" s="46" t="s">
        <v>440</v>
      </c>
      <c r="C190" s="46" t="s">
        <v>11</v>
      </c>
      <c r="D190" s="103">
        <v>45976</v>
      </c>
      <c r="E190" s="46">
        <v>12570</v>
      </c>
      <c r="F190" s="46">
        <v>5500</v>
      </c>
      <c r="G190" s="29">
        <v>7070</v>
      </c>
      <c r="H190" s="46">
        <v>5</v>
      </c>
    </row>
    <row r="191" spans="1:8" ht="35.25">
      <c r="A191" s="45" t="s">
        <v>625</v>
      </c>
      <c r="B191" s="46" t="s">
        <v>453</v>
      </c>
      <c r="C191" s="46" t="s">
        <v>12</v>
      </c>
      <c r="D191" s="103">
        <v>46006</v>
      </c>
      <c r="E191" s="46">
        <v>12510</v>
      </c>
      <c r="F191" s="46">
        <v>9890</v>
      </c>
      <c r="G191" s="29">
        <v>2620</v>
      </c>
      <c r="H191" s="46">
        <v>7</v>
      </c>
    </row>
    <row r="192" spans="1:8" ht="35.25">
      <c r="A192" s="45" t="s">
        <v>626</v>
      </c>
      <c r="B192" s="46" t="s">
        <v>265</v>
      </c>
      <c r="C192" s="46" t="s">
        <v>12</v>
      </c>
      <c r="D192" s="103">
        <v>45996</v>
      </c>
      <c r="E192" s="46">
        <v>12500</v>
      </c>
      <c r="F192" s="46">
        <v>4000</v>
      </c>
      <c r="G192" s="29">
        <v>8500</v>
      </c>
      <c r="H192" s="46">
        <v>2</v>
      </c>
    </row>
    <row r="193" spans="1:8" ht="58.5">
      <c r="A193" s="45" t="s">
        <v>627</v>
      </c>
      <c r="B193" s="46" t="s">
        <v>440</v>
      </c>
      <c r="C193" s="46" t="s">
        <v>6</v>
      </c>
      <c r="D193" s="103">
        <v>46056</v>
      </c>
      <c r="E193" s="46">
        <v>12400</v>
      </c>
      <c r="F193" s="46">
        <v>4100</v>
      </c>
      <c r="G193" s="29">
        <v>8300</v>
      </c>
      <c r="H193" s="46">
        <v>6</v>
      </c>
    </row>
    <row r="194" spans="1:8" ht="35.25">
      <c r="A194" s="45" t="s">
        <v>628</v>
      </c>
      <c r="B194" s="46" t="s">
        <v>400</v>
      </c>
      <c r="C194" s="46" t="s">
        <v>6</v>
      </c>
      <c r="D194" s="103">
        <v>46084</v>
      </c>
      <c r="E194" s="46">
        <v>12240</v>
      </c>
      <c r="F194" s="46">
        <v>9860</v>
      </c>
      <c r="G194" s="29">
        <v>2380</v>
      </c>
      <c r="H194" s="46">
        <v>5</v>
      </c>
    </row>
    <row r="195" spans="1:8" ht="35.25">
      <c r="A195" s="45" t="s">
        <v>629</v>
      </c>
      <c r="B195" s="46" t="s">
        <v>372</v>
      </c>
      <c r="C195" s="46" t="s">
        <v>7</v>
      </c>
      <c r="D195" s="103">
        <v>45987</v>
      </c>
      <c r="E195" s="46">
        <v>12100</v>
      </c>
      <c r="F195" s="46">
        <v>10340</v>
      </c>
      <c r="G195" s="29">
        <v>1760</v>
      </c>
      <c r="H195" s="46">
        <v>3</v>
      </c>
    </row>
    <row r="196" spans="1:8" ht="35.25">
      <c r="A196" s="45" t="s">
        <v>630</v>
      </c>
      <c r="B196" s="46" t="s">
        <v>433</v>
      </c>
      <c r="C196" s="46" t="s">
        <v>8</v>
      </c>
      <c r="D196" s="103">
        <v>46099</v>
      </c>
      <c r="E196" s="46">
        <v>12000</v>
      </c>
      <c r="F196" s="46">
        <v>1200</v>
      </c>
      <c r="G196" s="29">
        <v>10800</v>
      </c>
      <c r="H196" s="46">
        <v>3</v>
      </c>
    </row>
    <row r="197" spans="1:8" ht="35.25">
      <c r="A197" s="45" t="s">
        <v>631</v>
      </c>
      <c r="B197" s="46" t="s">
        <v>451</v>
      </c>
      <c r="C197" s="46" t="s">
        <v>5</v>
      </c>
      <c r="D197" s="103">
        <v>46030</v>
      </c>
      <c r="E197" s="46">
        <v>11000</v>
      </c>
      <c r="F197" s="46">
        <v>4000</v>
      </c>
      <c r="G197" s="29">
        <v>7000</v>
      </c>
      <c r="H197" s="46">
        <v>6</v>
      </c>
    </row>
    <row r="198" spans="1:8" ht="35.25">
      <c r="A198" s="45" t="s">
        <v>632</v>
      </c>
      <c r="B198" s="46" t="s">
        <v>419</v>
      </c>
      <c r="C198" s="46" t="s">
        <v>4</v>
      </c>
      <c r="D198" s="103">
        <v>46017</v>
      </c>
      <c r="E198" s="46">
        <v>10890</v>
      </c>
      <c r="F198" s="46">
        <v>7730</v>
      </c>
      <c r="G198" s="29">
        <v>3160</v>
      </c>
      <c r="H198" s="46">
        <v>7</v>
      </c>
    </row>
    <row r="199" spans="1:8" ht="35.25">
      <c r="A199" s="45" t="s">
        <v>633</v>
      </c>
      <c r="B199" s="46" t="s">
        <v>301</v>
      </c>
      <c r="C199" s="46" t="s">
        <v>7</v>
      </c>
      <c r="D199" s="103">
        <v>46021</v>
      </c>
      <c r="E199" s="46">
        <v>10400</v>
      </c>
      <c r="F199" s="46">
        <v>7000</v>
      </c>
      <c r="G199" s="29">
        <v>3400</v>
      </c>
      <c r="H199" s="46">
        <v>7</v>
      </c>
    </row>
    <row r="200" spans="1:8" ht="35.25">
      <c r="A200" s="45" t="s">
        <v>634</v>
      </c>
      <c r="B200" s="46" t="s">
        <v>453</v>
      </c>
      <c r="C200" s="46" t="s">
        <v>6</v>
      </c>
      <c r="D200" s="103">
        <v>46083</v>
      </c>
      <c r="E200" s="46">
        <v>10000</v>
      </c>
      <c r="F200" s="46">
        <v>2500</v>
      </c>
      <c r="G200" s="29">
        <v>7500</v>
      </c>
      <c r="H200" s="46">
        <v>6</v>
      </c>
    </row>
    <row r="201" spans="1:8" ht="35.25">
      <c r="A201" s="45" t="s">
        <v>635</v>
      </c>
      <c r="B201" s="46" t="s">
        <v>451</v>
      </c>
      <c r="C201" s="46" t="s">
        <v>6</v>
      </c>
      <c r="D201" s="103">
        <v>46070</v>
      </c>
      <c r="E201" s="46">
        <v>7900</v>
      </c>
      <c r="F201" s="46">
        <v>5000</v>
      </c>
      <c r="G201" s="23">
        <v>2900</v>
      </c>
      <c r="H201" s="46">
        <v>4</v>
      </c>
    </row>
    <row r="202" spans="1:8">
      <c r="G202" s="20"/>
    </row>
    <row r="203" spans="1:8">
      <c r="G203" s="20"/>
    </row>
    <row r="204" spans="1:8">
      <c r="G204" s="20"/>
    </row>
    <row r="205" spans="1:8">
      <c r="G205" s="20"/>
    </row>
    <row r="206" spans="1:8">
      <c r="G20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2026-02-12T20:51:47Z</dcterms:created>
  <dcterms:modified xsi:type="dcterms:W3CDTF">2026-03-23T15:55:36Z</dcterms:modified>
  <cp:category/>
  <cp:contentStatus/>
</cp:coreProperties>
</file>